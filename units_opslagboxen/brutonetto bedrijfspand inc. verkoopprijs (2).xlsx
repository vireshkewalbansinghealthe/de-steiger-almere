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reshkewalbansing/Repos/unity-units-clone/units_opslagboxen/"/>
    </mc:Choice>
  </mc:AlternateContent>
  <xr:revisionPtr revIDLastSave="0" documentId="13_ncr:1_{8472D814-D60F-A542-AB49-480127021943}" xr6:coauthVersionLast="47" xr6:coauthVersionMax="47" xr10:uidLastSave="{00000000-0000-0000-0000-000000000000}"/>
  <bookViews>
    <workbookView xWindow="-100" yWindow="760" windowWidth="23260" windowHeight="12460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_FilterDatabase" localSheetId="0" hidden="1">Blad1!$A$12:$W$91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1" l="1"/>
  <c r="V22" i="1"/>
  <c r="V16" i="1"/>
  <c r="V17" i="1"/>
  <c r="V18" i="1"/>
  <c r="V19" i="1"/>
  <c r="V20" i="1"/>
  <c r="V15" i="1"/>
  <c r="U92" i="1"/>
  <c r="P69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Q69" i="1"/>
  <c r="Q62" i="1"/>
  <c r="P62" i="1"/>
  <c r="Q68" i="1"/>
  <c r="P68" i="1"/>
  <c r="Q67" i="1"/>
  <c r="Q66" i="1"/>
  <c r="Q65" i="1"/>
  <c r="Q64" i="1"/>
  <c r="Q63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P67" i="1"/>
  <c r="P66" i="1"/>
  <c r="P65" i="1"/>
  <c r="P64" i="1"/>
  <c r="P63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Q47" i="1"/>
  <c r="P47" i="1"/>
  <c r="P46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Q26" i="1"/>
  <c r="P26" i="1"/>
  <c r="P24" i="1"/>
  <c r="Q24" i="1"/>
  <c r="Q25" i="1"/>
  <c r="Q23" i="1"/>
  <c r="Q22" i="1"/>
  <c r="Q21" i="1"/>
  <c r="Q20" i="1"/>
  <c r="Q19" i="1"/>
  <c r="Q18" i="1"/>
  <c r="Q17" i="1"/>
  <c r="Q16" i="1"/>
  <c r="Q15" i="1"/>
  <c r="Q14" i="1"/>
  <c r="P25" i="1"/>
  <c r="P23" i="1"/>
  <c r="P22" i="1"/>
  <c r="P21" i="1"/>
  <c r="P20" i="1"/>
  <c r="P19" i="1"/>
  <c r="P18" i="1"/>
  <c r="P17" i="1"/>
  <c r="P16" i="1"/>
  <c r="P15" i="1"/>
  <c r="P14" i="1"/>
  <c r="Q13" i="1"/>
  <c r="P13" i="1"/>
  <c r="V69" i="1" l="1"/>
  <c r="U69" i="1"/>
  <c r="V91" i="1"/>
  <c r="U91" i="1"/>
  <c r="V90" i="1"/>
  <c r="U90" i="1"/>
  <c r="V89" i="1"/>
  <c r="U89" i="1"/>
  <c r="V88" i="1"/>
  <c r="U88" i="1"/>
  <c r="V87" i="1"/>
  <c r="U87" i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V79" i="1"/>
  <c r="U79" i="1"/>
  <c r="V78" i="1"/>
  <c r="U78" i="1"/>
  <c r="U77" i="1"/>
  <c r="V77" i="1"/>
  <c r="V76" i="1"/>
  <c r="U76" i="1"/>
  <c r="V75" i="1"/>
  <c r="U75" i="1"/>
  <c r="V74" i="1"/>
  <c r="U74" i="1"/>
  <c r="U73" i="1"/>
  <c r="V73" i="1"/>
  <c r="U72" i="1"/>
  <c r="V72" i="1"/>
  <c r="U71" i="1"/>
  <c r="V71" i="1"/>
  <c r="U70" i="1"/>
  <c r="V70" i="1"/>
  <c r="V62" i="1"/>
  <c r="U62" i="1"/>
  <c r="V68" i="1"/>
  <c r="U68" i="1"/>
  <c r="V67" i="1"/>
  <c r="U67" i="1"/>
  <c r="V66" i="1"/>
  <c r="U66" i="1"/>
  <c r="V65" i="1"/>
  <c r="U65" i="1"/>
  <c r="V64" i="1"/>
  <c r="U64" i="1"/>
  <c r="V63" i="1"/>
  <c r="U63" i="1"/>
  <c r="V61" i="1"/>
  <c r="U61" i="1"/>
  <c r="U60" i="1"/>
  <c r="V60" i="1"/>
  <c r="V59" i="1"/>
  <c r="U59" i="1"/>
  <c r="U58" i="1"/>
  <c r="V58" i="1"/>
  <c r="V57" i="1"/>
  <c r="U57" i="1"/>
  <c r="V56" i="1"/>
  <c r="U56" i="1"/>
  <c r="V55" i="1"/>
  <c r="U55" i="1"/>
  <c r="V54" i="1"/>
  <c r="U54" i="1"/>
  <c r="V53" i="1"/>
  <c r="U53" i="1"/>
  <c r="V52" i="1"/>
  <c r="U52" i="1"/>
  <c r="U51" i="1"/>
  <c r="V51" i="1"/>
  <c r="U50" i="1"/>
  <c r="V50" i="1"/>
  <c r="U49" i="1"/>
  <c r="V49" i="1"/>
  <c r="U48" i="1"/>
  <c r="V48" i="1"/>
  <c r="U47" i="1"/>
  <c r="V47" i="1"/>
  <c r="U46" i="1"/>
  <c r="V46" i="1"/>
  <c r="U45" i="1"/>
  <c r="V45" i="1"/>
  <c r="V44" i="1"/>
  <c r="U44" i="1"/>
  <c r="U43" i="1"/>
  <c r="V43" i="1"/>
  <c r="U42" i="1"/>
  <c r="V42" i="1"/>
  <c r="U41" i="1"/>
  <c r="V41" i="1"/>
  <c r="U40" i="1"/>
  <c r="V40" i="1"/>
  <c r="U39" i="1"/>
  <c r="V39" i="1"/>
  <c r="U38" i="1"/>
  <c r="V38" i="1"/>
  <c r="U37" i="1"/>
  <c r="V37" i="1"/>
  <c r="U36" i="1"/>
  <c r="V36" i="1"/>
  <c r="U35" i="1"/>
  <c r="V35" i="1"/>
  <c r="U34" i="1"/>
  <c r="V34" i="1"/>
  <c r="V33" i="1"/>
  <c r="U33" i="1"/>
  <c r="V32" i="1"/>
  <c r="U32" i="1"/>
  <c r="U31" i="1"/>
  <c r="V31" i="1"/>
  <c r="U30" i="1"/>
  <c r="V30" i="1"/>
  <c r="U29" i="1"/>
  <c r="V29" i="1"/>
  <c r="U28" i="1"/>
  <c r="V28" i="1"/>
  <c r="U27" i="1"/>
  <c r="V27" i="1"/>
  <c r="U26" i="1"/>
  <c r="V26" i="1"/>
  <c r="U24" i="1"/>
  <c r="V24" i="1"/>
  <c r="U25" i="1"/>
  <c r="V25" i="1"/>
  <c r="U23" i="1"/>
  <c r="U22" i="1"/>
  <c r="U21" i="1"/>
  <c r="V21" i="1"/>
  <c r="U20" i="1"/>
  <c r="U19" i="1"/>
  <c r="U18" i="1"/>
  <c r="U17" i="1"/>
  <c r="U16" i="1"/>
  <c r="U15" i="1"/>
  <c r="U14" i="1"/>
  <c r="V14" i="1"/>
  <c r="V13" i="1"/>
  <c r="U13" i="1"/>
  <c r="Q94" i="1"/>
  <c r="P94" i="1"/>
  <c r="U95" i="1" l="1"/>
  <c r="V95" i="1"/>
  <c r="V96" i="1" l="1"/>
  <c r="W95" i="1"/>
</calcChain>
</file>

<file path=xl/sharedStrings.xml><?xml version="1.0" encoding="utf-8"?>
<sst xmlns="http://schemas.openxmlformats.org/spreadsheetml/2006/main" count="127" uniqueCount="22">
  <si>
    <t>begane grond</t>
  </si>
  <si>
    <t>1e verdieping</t>
  </si>
  <si>
    <t>2e verdieping</t>
  </si>
  <si>
    <t>Unit nr.</t>
  </si>
  <si>
    <t>bruto</t>
  </si>
  <si>
    <t>netto</t>
  </si>
  <si>
    <t>kantoorfunctie</t>
  </si>
  <si>
    <t>totaal</t>
  </si>
  <si>
    <t>industrie functie</t>
  </si>
  <si>
    <t>Project:</t>
  </si>
  <si>
    <t>Opdrachtgever:</t>
  </si>
  <si>
    <t>d.d.</t>
  </si>
  <si>
    <t>Werknummer:</t>
  </si>
  <si>
    <t>De Steiger te Almere</t>
  </si>
  <si>
    <t>Dhr. Kiki</t>
  </si>
  <si>
    <t>W126-21</t>
  </si>
  <si>
    <r>
      <t>begane grond         eenheid m</t>
    </r>
    <r>
      <rPr>
        <b/>
        <sz val="11"/>
        <color theme="1"/>
        <rFont val="Calibri"/>
        <family val="2"/>
      </rPr>
      <t>²</t>
    </r>
    <r>
      <rPr>
        <b/>
        <sz val="11"/>
        <color theme="1"/>
        <rFont val="Calibri"/>
        <family val="2"/>
        <scheme val="minor"/>
      </rPr>
      <t xml:space="preserve"> </t>
    </r>
  </si>
  <si>
    <r>
      <t>eenheid in m</t>
    </r>
    <r>
      <rPr>
        <sz val="11"/>
        <color theme="1"/>
        <rFont val="Calibri"/>
        <family val="2"/>
      </rPr>
      <t>²</t>
    </r>
  </si>
  <si>
    <t xml:space="preserve"> </t>
  </si>
  <si>
    <t>Aan de opgegeven oppervlaktes zijn geen rechten verbonden, verkopende partij is verantwoordelijk.</t>
  </si>
  <si>
    <r>
      <t xml:space="preserve">                                                                                                    Totaal eenheid in m</t>
    </r>
    <r>
      <rPr>
        <b/>
        <sz val="11"/>
        <color theme="1"/>
        <rFont val="Calibri"/>
        <family val="2"/>
      </rPr>
      <t>²</t>
    </r>
  </si>
  <si>
    <t>VERKOOPPRIJS EX. BTW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</si>
</sst>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€&quot;\ * #,##0.00_ ;_ &quot;€&quot;\ * \-#,##0.00_ ;_ &quot;€&quot;\ * &quot;-&quot;??_ ;_ @_ "/>
    <numFmt numFmtId="165" formatCode="_ [$€-413]\ * #.##0.00_ ;_ [$€-413]\ * \-#.##0.00_ ;_ [$€-413]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1" xfId="0" applyNumberFormat="1" applyBorder="1"/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/>
    <xf numFmtId="2" fontId="0" fillId="0" borderId="0" xfId="0" applyNumberFormat="1"/>
    <xf numFmtId="0" fontId="7" fillId="0" borderId="0" xfId="0" applyFont="1"/>
    <xf numFmtId="0" fontId="0" fillId="7" borderId="2" xfId="0" applyFill="1" applyBorder="1" applyAlignment="1">
      <alignment horizontal="center"/>
    </xf>
    <xf numFmtId="0" fontId="8" fillId="7" borderId="4" xfId="0" applyFont="1" applyFill="1" applyBorder="1" applyAlignment="1">
      <alignment vertical="center"/>
    </xf>
    <xf numFmtId="0" fontId="8" fillId="7" borderId="9" xfId="0" applyFont="1" applyFill="1" applyBorder="1" applyAlignment="1">
      <alignment vertical="center"/>
    </xf>
    <xf numFmtId="0" fontId="8" fillId="7" borderId="5" xfId="0" applyFont="1" applyFill="1" applyBorder="1" applyAlignment="1">
      <alignment vertical="center"/>
    </xf>
    <xf numFmtId="0" fontId="8" fillId="7" borderId="0" xfId="0" applyFont="1" applyFill="1" applyAlignment="1">
      <alignment vertical="center"/>
    </xf>
    <xf numFmtId="2" fontId="0" fillId="7" borderId="7" xfId="0" applyNumberFormat="1" applyFill="1" applyBorder="1"/>
    <xf numFmtId="0" fontId="0" fillId="7" borderId="7" xfId="0" applyFill="1" applyBorder="1"/>
    <xf numFmtId="2" fontId="0" fillId="7" borderId="3" xfId="0" applyNumberFormat="1" applyFill="1" applyBorder="1"/>
    <xf numFmtId="0" fontId="8" fillId="7" borderId="6" xfId="0" applyFont="1" applyFill="1" applyBorder="1" applyAlignment="1">
      <alignment vertical="center"/>
    </xf>
    <xf numFmtId="0" fontId="8" fillId="7" borderId="8" xfId="0" applyFont="1" applyFill="1" applyBorder="1" applyAlignment="1">
      <alignment vertical="center"/>
    </xf>
    <xf numFmtId="0" fontId="1" fillId="0" borderId="0" xfId="0" applyFont="1"/>
    <xf numFmtId="164" fontId="0" fillId="0" borderId="0" xfId="1" applyFont="1"/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9" fontId="0" fillId="0" borderId="0" xfId="2" applyFont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8" borderId="13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2" fontId="1" fillId="6" borderId="10" xfId="0" applyNumberFormat="1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6" borderId="4" xfId="0" applyFill="1" applyBorder="1" applyAlignment="1">
      <alignment horizontal="center" vertical="top" wrapText="1"/>
    </xf>
    <xf numFmtId="0" fontId="0" fillId="6" borderId="5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0" fillId="5" borderId="5" xfId="0" applyFill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</cellXfs>
  <cellStyles count="3">
    <cellStyle name="Procent" xfId="2" builtinId="5"/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</xdr:colOff>
      <xdr:row>0</xdr:row>
      <xdr:rowOff>107393</xdr:rowOff>
    </xdr:from>
    <xdr:to>
      <xdr:col>16</xdr:col>
      <xdr:colOff>485775</xdr:colOff>
      <xdr:row>5</xdr:row>
      <xdr:rowOff>83741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525" y="107393"/>
          <a:ext cx="2181225" cy="1081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topLeftCell="E5" zoomScaleNormal="100" workbookViewId="0">
      <selection activeCell="U10" sqref="U10"/>
    </sheetView>
  </sheetViews>
  <sheetFormatPr baseColWidth="10" defaultColWidth="8.83203125" defaultRowHeight="15" x14ac:dyDescent="0.2"/>
  <cols>
    <col min="1" max="1" width="7.33203125" customWidth="1"/>
    <col min="2" max="7" width="7.6640625" customWidth="1"/>
    <col min="8" max="8" width="0.83203125" customWidth="1"/>
    <col min="9" max="14" width="7.6640625" customWidth="1"/>
    <col min="15" max="15" width="0.83203125" customWidth="1"/>
    <col min="16" max="17" width="9.6640625" customWidth="1"/>
    <col min="18" max="18" width="7.33203125" customWidth="1"/>
    <col min="19" max="19" width="11.5" bestFit="1" customWidth="1"/>
    <col min="20" max="20" width="11.5" customWidth="1"/>
    <col min="21" max="21" width="21.6640625" customWidth="1"/>
    <col min="22" max="22" width="12.5" bestFit="1" customWidth="1"/>
    <col min="23" max="23" width="10.5" bestFit="1" customWidth="1"/>
  </cols>
  <sheetData>
    <row r="1" spans="1:23" ht="24" x14ac:dyDescent="0.3">
      <c r="A1" s="30" t="s">
        <v>9</v>
      </c>
      <c r="B1" s="30"/>
      <c r="C1" s="31" t="s">
        <v>13</v>
      </c>
      <c r="D1" s="31"/>
      <c r="E1" s="31"/>
      <c r="F1" s="31"/>
      <c r="G1" s="31"/>
      <c r="H1" s="31"/>
      <c r="I1" s="31"/>
      <c r="J1" s="31"/>
      <c r="K1" s="31"/>
    </row>
    <row r="2" spans="1:23" x14ac:dyDescent="0.2">
      <c r="A2" s="30" t="s">
        <v>10</v>
      </c>
      <c r="B2" s="30"/>
      <c r="C2" s="32" t="s">
        <v>14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"/>
    </row>
    <row r="3" spans="1:23" ht="19" x14ac:dyDescent="0.25">
      <c r="A3" s="30" t="s">
        <v>12</v>
      </c>
      <c r="B3" s="30"/>
      <c r="C3" s="33" t="s">
        <v>15</v>
      </c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23" x14ac:dyDescent="0.2">
      <c r="A4" s="30" t="s">
        <v>11</v>
      </c>
      <c r="B4" s="30"/>
      <c r="C4" s="34">
        <v>45762</v>
      </c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23" x14ac:dyDescent="0.2">
      <c r="A5" s="2"/>
      <c r="B5" s="2"/>
      <c r="R5" s="2"/>
      <c r="S5" s="2"/>
      <c r="T5" s="2"/>
    </row>
    <row r="6" spans="1:23" x14ac:dyDescent="0.2">
      <c r="A6" s="56" t="s">
        <v>19</v>
      </c>
      <c r="B6" s="57"/>
      <c r="C6" s="57"/>
      <c r="D6" s="57"/>
      <c r="E6" s="57"/>
      <c r="F6" s="57"/>
      <c r="G6" s="57"/>
      <c r="H6" s="57"/>
      <c r="I6" s="57"/>
      <c r="J6" s="57"/>
      <c r="K6" s="58"/>
      <c r="L6" s="8"/>
    </row>
    <row r="7" spans="1:23" ht="18.75" customHeight="1" x14ac:dyDescent="0.2">
      <c r="A7" s="69"/>
      <c r="B7" s="44" t="s">
        <v>8</v>
      </c>
      <c r="C7" s="45"/>
      <c r="D7" s="45"/>
      <c r="E7" s="45"/>
      <c r="F7" s="45"/>
      <c r="G7" s="46"/>
      <c r="H7" s="53"/>
      <c r="I7" s="35" t="s">
        <v>6</v>
      </c>
      <c r="J7" s="36"/>
      <c r="K7" s="36"/>
      <c r="L7" s="36"/>
      <c r="M7" s="36"/>
      <c r="N7" s="37"/>
      <c r="O7" s="54"/>
      <c r="P7" s="24"/>
      <c r="Q7" s="25"/>
      <c r="R7" s="69"/>
      <c r="S7" s="2"/>
      <c r="T7" s="2"/>
    </row>
    <row r="8" spans="1:23" ht="18.75" customHeight="1" x14ac:dyDescent="0.2">
      <c r="A8" s="70"/>
      <c r="B8" s="47"/>
      <c r="C8" s="48"/>
      <c r="D8" s="48"/>
      <c r="E8" s="48"/>
      <c r="F8" s="48"/>
      <c r="G8" s="49"/>
      <c r="H8" s="54"/>
      <c r="I8" s="38"/>
      <c r="J8" s="39"/>
      <c r="K8" s="39"/>
      <c r="L8" s="39"/>
      <c r="M8" s="39"/>
      <c r="N8" s="40"/>
      <c r="O8" s="54"/>
      <c r="P8" s="26"/>
      <c r="Q8" s="27"/>
      <c r="R8" s="70"/>
      <c r="S8" s="2"/>
      <c r="T8" s="2"/>
    </row>
    <row r="9" spans="1:23" ht="18.75" customHeight="1" x14ac:dyDescent="0.2">
      <c r="A9" s="71"/>
      <c r="B9" s="50"/>
      <c r="C9" s="51"/>
      <c r="D9" s="51"/>
      <c r="E9" s="51"/>
      <c r="F9" s="51"/>
      <c r="G9" s="52"/>
      <c r="H9" s="54"/>
      <c r="I9" s="41"/>
      <c r="J9" s="42"/>
      <c r="K9" s="42"/>
      <c r="L9" s="42"/>
      <c r="M9" s="42"/>
      <c r="N9" s="43"/>
      <c r="O9" s="54"/>
      <c r="P9" s="28"/>
      <c r="Q9" s="29"/>
      <c r="R9" s="71"/>
      <c r="S9" s="2"/>
      <c r="T9" s="2"/>
    </row>
    <row r="10" spans="1:23" ht="15" customHeight="1" x14ac:dyDescent="0.2">
      <c r="A10" s="72" t="s">
        <v>3</v>
      </c>
      <c r="B10" s="81" t="s">
        <v>16</v>
      </c>
      <c r="C10" s="82"/>
      <c r="D10" s="75" t="s">
        <v>1</v>
      </c>
      <c r="E10" s="76"/>
      <c r="F10" s="75" t="s">
        <v>2</v>
      </c>
      <c r="G10" s="76"/>
      <c r="H10" s="54"/>
      <c r="I10" s="79" t="s">
        <v>0</v>
      </c>
      <c r="J10" s="80"/>
      <c r="K10" s="79" t="s">
        <v>1</v>
      </c>
      <c r="L10" s="80"/>
      <c r="M10" s="79" t="s">
        <v>2</v>
      </c>
      <c r="N10" s="80"/>
      <c r="O10" s="54"/>
      <c r="P10" s="63" t="s">
        <v>7</v>
      </c>
      <c r="Q10" s="64"/>
      <c r="R10" s="72" t="s">
        <v>3</v>
      </c>
      <c r="S10" s="21"/>
      <c r="T10" s="21"/>
      <c r="V10" s="19" t="s">
        <v>21</v>
      </c>
    </row>
    <row r="11" spans="1:23" ht="15" customHeight="1" x14ac:dyDescent="0.2">
      <c r="A11" s="73"/>
      <c r="B11" s="59" t="s">
        <v>17</v>
      </c>
      <c r="C11" s="60"/>
      <c r="D11" s="77" t="s">
        <v>17</v>
      </c>
      <c r="E11" s="78"/>
      <c r="F11" s="77" t="s">
        <v>17</v>
      </c>
      <c r="G11" s="78"/>
      <c r="H11" s="54"/>
      <c r="I11" s="67" t="s">
        <v>17</v>
      </c>
      <c r="J11" s="68"/>
      <c r="K11" s="67" t="s">
        <v>17</v>
      </c>
      <c r="L11" s="68"/>
      <c r="M11" s="67" t="s">
        <v>17</v>
      </c>
      <c r="N11" s="68"/>
      <c r="O11" s="54"/>
      <c r="P11" s="65" t="s">
        <v>17</v>
      </c>
      <c r="Q11" s="66"/>
      <c r="R11" s="73"/>
      <c r="S11" s="21"/>
      <c r="T11" s="21"/>
    </row>
    <row r="12" spans="1:23" ht="15" customHeight="1" x14ac:dyDescent="0.2">
      <c r="A12" s="74"/>
      <c r="B12" s="1" t="s">
        <v>4</v>
      </c>
      <c r="C12" s="1" t="s">
        <v>5</v>
      </c>
      <c r="D12" s="1" t="s">
        <v>4</v>
      </c>
      <c r="E12" s="1" t="s">
        <v>5</v>
      </c>
      <c r="F12" s="1" t="s">
        <v>4</v>
      </c>
      <c r="G12" s="1" t="s">
        <v>5</v>
      </c>
      <c r="H12" s="54"/>
      <c r="I12" s="1" t="s">
        <v>4</v>
      </c>
      <c r="J12" s="1" t="s">
        <v>5</v>
      </c>
      <c r="K12" s="1" t="s">
        <v>4</v>
      </c>
      <c r="L12" s="1" t="s">
        <v>5</v>
      </c>
      <c r="M12" s="1" t="s">
        <v>4</v>
      </c>
      <c r="N12" s="1" t="s">
        <v>5</v>
      </c>
      <c r="O12" s="54"/>
      <c r="P12" s="5" t="s">
        <v>4</v>
      </c>
      <c r="Q12" s="5" t="s">
        <v>5</v>
      </c>
      <c r="R12" s="74"/>
      <c r="S12" s="21"/>
      <c r="T12" s="21"/>
    </row>
    <row r="13" spans="1:23" s="7" customFormat="1" ht="15" customHeight="1" x14ac:dyDescent="0.2">
      <c r="A13" s="1">
        <v>1</v>
      </c>
      <c r="B13" s="4">
        <v>50.6</v>
      </c>
      <c r="C13" s="4">
        <v>44.9</v>
      </c>
      <c r="D13" s="4"/>
      <c r="E13" s="4"/>
      <c r="F13" s="4"/>
      <c r="G13" s="4"/>
      <c r="H13" s="54"/>
      <c r="I13" s="4" t="s">
        <v>18</v>
      </c>
      <c r="J13" s="4"/>
      <c r="K13" s="4">
        <v>50.6</v>
      </c>
      <c r="L13" s="4">
        <v>44.9</v>
      </c>
      <c r="M13" s="4">
        <v>52.2</v>
      </c>
      <c r="N13" s="4">
        <v>44.9</v>
      </c>
      <c r="O13" s="54"/>
      <c r="P13" s="6">
        <f>SUM(B13+K13+M13)</f>
        <v>153.4</v>
      </c>
      <c r="Q13" s="6">
        <f>SUM(C13+L13+N13)</f>
        <v>134.69999999999999</v>
      </c>
      <c r="R13" s="1">
        <v>1</v>
      </c>
      <c r="S13" s="22">
        <v>2000</v>
      </c>
      <c r="T13" s="22">
        <v>2150</v>
      </c>
      <c r="U13" s="20">
        <f>S13*P13</f>
        <v>306800</v>
      </c>
      <c r="V13" s="20">
        <f>T13*P13</f>
        <v>329810</v>
      </c>
      <c r="W13" s="7">
        <v>1</v>
      </c>
    </row>
    <row r="14" spans="1:23" s="7" customFormat="1" ht="15" customHeight="1" x14ac:dyDescent="0.2">
      <c r="A14" s="1">
        <v>2</v>
      </c>
      <c r="B14" s="4">
        <v>50.6</v>
      </c>
      <c r="C14" s="4">
        <v>46</v>
      </c>
      <c r="D14" s="4"/>
      <c r="E14" s="4"/>
      <c r="F14" s="4"/>
      <c r="G14" s="4"/>
      <c r="H14" s="55"/>
      <c r="I14" s="4" t="s">
        <v>18</v>
      </c>
      <c r="J14" s="4" t="s">
        <v>18</v>
      </c>
      <c r="K14" s="4">
        <v>50.6</v>
      </c>
      <c r="L14" s="4">
        <v>46</v>
      </c>
      <c r="M14" s="4"/>
      <c r="N14" s="4"/>
      <c r="O14" s="55"/>
      <c r="P14" s="6">
        <f>SUM(B14+K14)</f>
        <v>101.2</v>
      </c>
      <c r="Q14" s="6">
        <f>SUM(C14+L14)</f>
        <v>92</v>
      </c>
      <c r="R14" s="1">
        <v>2</v>
      </c>
      <c r="S14" s="22">
        <v>2000</v>
      </c>
      <c r="T14" s="22">
        <v>2250</v>
      </c>
      <c r="U14" s="20">
        <f t="shared" ref="U14:U77" si="0">S14*P14</f>
        <v>202400</v>
      </c>
      <c r="V14" s="20">
        <f t="shared" ref="V14:V77" si="1">T14*P14</f>
        <v>227700</v>
      </c>
      <c r="W14" s="7">
        <v>2</v>
      </c>
    </row>
    <row r="15" spans="1:23" s="7" customFormat="1" ht="15" customHeight="1" x14ac:dyDescent="0.2">
      <c r="A15" s="1">
        <v>3</v>
      </c>
      <c r="B15" s="4">
        <v>50.6</v>
      </c>
      <c r="C15" s="4">
        <v>46</v>
      </c>
      <c r="D15" s="4"/>
      <c r="E15" s="4"/>
      <c r="F15" s="4"/>
      <c r="G15" s="4"/>
      <c r="H15"/>
      <c r="I15" s="4"/>
      <c r="J15" s="4"/>
      <c r="K15" s="4">
        <v>50.6</v>
      </c>
      <c r="L15" s="4">
        <v>46</v>
      </c>
      <c r="M15" s="4"/>
      <c r="N15" s="4"/>
      <c r="O15"/>
      <c r="P15" s="6">
        <f t="shared" ref="P15:P23" si="2">SUM(B15+K15)</f>
        <v>101.2</v>
      </c>
      <c r="Q15" s="6">
        <f t="shared" ref="Q15:Q23" si="3">SUM(C15+L15)</f>
        <v>92</v>
      </c>
      <c r="R15" s="1">
        <v>3</v>
      </c>
      <c r="S15" s="22">
        <v>2000</v>
      </c>
      <c r="T15" s="22">
        <v>2250</v>
      </c>
      <c r="U15" s="20">
        <f t="shared" si="0"/>
        <v>202400</v>
      </c>
      <c r="V15" s="20">
        <f>(T15*P15)+5000</f>
        <v>232700</v>
      </c>
      <c r="W15" s="7">
        <v>3</v>
      </c>
    </row>
    <row r="16" spans="1:23" s="7" customFormat="1" ht="15" customHeight="1" x14ac:dyDescent="0.2">
      <c r="A16" s="1">
        <v>4</v>
      </c>
      <c r="B16" s="4">
        <v>50.6</v>
      </c>
      <c r="C16" s="4">
        <v>46</v>
      </c>
      <c r="D16" s="4"/>
      <c r="E16" s="4"/>
      <c r="F16" s="4"/>
      <c r="G16" s="4"/>
      <c r="H16"/>
      <c r="I16" s="4"/>
      <c r="J16" s="4"/>
      <c r="K16" s="4">
        <v>50.6</v>
      </c>
      <c r="L16" s="4">
        <v>46</v>
      </c>
      <c r="M16" s="4"/>
      <c r="N16" s="4"/>
      <c r="O16"/>
      <c r="P16" s="6">
        <f t="shared" si="2"/>
        <v>101.2</v>
      </c>
      <c r="Q16" s="6">
        <f t="shared" si="3"/>
        <v>92</v>
      </c>
      <c r="R16" s="1">
        <v>4</v>
      </c>
      <c r="S16" s="22">
        <v>2000</v>
      </c>
      <c r="T16" s="22">
        <v>2250</v>
      </c>
      <c r="U16" s="20">
        <f t="shared" si="0"/>
        <v>202400</v>
      </c>
      <c r="V16" s="20">
        <f t="shared" ref="V16:V20" si="4">(T16*P16)+5000</f>
        <v>232700</v>
      </c>
      <c r="W16" s="7">
        <v>3</v>
      </c>
    </row>
    <row r="17" spans="1:23" s="7" customFormat="1" ht="15" customHeight="1" x14ac:dyDescent="0.2">
      <c r="A17" s="1">
        <v>5</v>
      </c>
      <c r="B17" s="4">
        <v>50.6</v>
      </c>
      <c r="C17" s="4">
        <v>46</v>
      </c>
      <c r="D17" s="4"/>
      <c r="E17" s="4"/>
      <c r="F17" s="4"/>
      <c r="G17" s="4"/>
      <c r="H17"/>
      <c r="I17" s="4"/>
      <c r="J17" s="4"/>
      <c r="K17" s="4">
        <v>50.6</v>
      </c>
      <c r="L17" s="4">
        <v>46</v>
      </c>
      <c r="M17" s="4"/>
      <c r="N17" s="4"/>
      <c r="O17"/>
      <c r="P17" s="6">
        <f t="shared" si="2"/>
        <v>101.2</v>
      </c>
      <c r="Q17" s="6">
        <f t="shared" si="3"/>
        <v>92</v>
      </c>
      <c r="R17" s="1">
        <v>5</v>
      </c>
      <c r="S17" s="22">
        <v>2000</v>
      </c>
      <c r="T17" s="22">
        <v>2250</v>
      </c>
      <c r="U17" s="20">
        <f t="shared" si="0"/>
        <v>202400</v>
      </c>
      <c r="V17" s="20">
        <f t="shared" si="4"/>
        <v>232700</v>
      </c>
      <c r="W17" s="7">
        <v>3</v>
      </c>
    </row>
    <row r="18" spans="1:23" s="7" customFormat="1" ht="15" customHeight="1" x14ac:dyDescent="0.2">
      <c r="A18" s="1">
        <v>6</v>
      </c>
      <c r="B18" s="4">
        <v>50.6</v>
      </c>
      <c r="C18" s="4">
        <v>46</v>
      </c>
      <c r="D18" s="4"/>
      <c r="E18" s="4"/>
      <c r="F18" s="4"/>
      <c r="G18" s="4"/>
      <c r="H18"/>
      <c r="I18" s="4"/>
      <c r="J18" s="4"/>
      <c r="K18" s="4">
        <v>50.6</v>
      </c>
      <c r="L18" s="4">
        <v>46</v>
      </c>
      <c r="M18" s="4"/>
      <c r="N18" s="4"/>
      <c r="O18"/>
      <c r="P18" s="6">
        <f t="shared" si="2"/>
        <v>101.2</v>
      </c>
      <c r="Q18" s="6">
        <f t="shared" si="3"/>
        <v>92</v>
      </c>
      <c r="R18" s="1">
        <v>6</v>
      </c>
      <c r="S18" s="22">
        <v>2000</v>
      </c>
      <c r="T18" s="22">
        <v>2250</v>
      </c>
      <c r="U18" s="20">
        <f t="shared" si="0"/>
        <v>202400</v>
      </c>
      <c r="V18" s="20">
        <f t="shared" si="4"/>
        <v>232700</v>
      </c>
      <c r="W18" s="7">
        <v>3</v>
      </c>
    </row>
    <row r="19" spans="1:23" s="7" customFormat="1" ht="15" customHeight="1" x14ac:dyDescent="0.2">
      <c r="A19" s="1">
        <v>7</v>
      </c>
      <c r="B19" s="4">
        <v>50.6</v>
      </c>
      <c r="C19" s="4">
        <v>46</v>
      </c>
      <c r="D19" s="4"/>
      <c r="E19" s="4"/>
      <c r="F19" s="4"/>
      <c r="G19" s="4"/>
      <c r="H19"/>
      <c r="I19" s="4"/>
      <c r="J19" s="4"/>
      <c r="K19" s="4">
        <v>50.6</v>
      </c>
      <c r="L19" s="4">
        <v>46</v>
      </c>
      <c r="M19" s="4"/>
      <c r="N19" s="4"/>
      <c r="O19"/>
      <c r="P19" s="6">
        <f t="shared" si="2"/>
        <v>101.2</v>
      </c>
      <c r="Q19" s="6">
        <f t="shared" si="3"/>
        <v>92</v>
      </c>
      <c r="R19" s="1">
        <v>7</v>
      </c>
      <c r="S19" s="22">
        <v>2000</v>
      </c>
      <c r="T19" s="22">
        <v>2250</v>
      </c>
      <c r="U19" s="20">
        <f t="shared" si="0"/>
        <v>202400</v>
      </c>
      <c r="V19" s="20">
        <f t="shared" si="4"/>
        <v>232700</v>
      </c>
      <c r="W19" s="7">
        <v>3</v>
      </c>
    </row>
    <row r="20" spans="1:23" s="7" customFormat="1" ht="15" customHeight="1" x14ac:dyDescent="0.2">
      <c r="A20" s="1">
        <v>8</v>
      </c>
      <c r="B20" s="4">
        <v>50.6</v>
      </c>
      <c r="C20" s="4">
        <v>46</v>
      </c>
      <c r="D20" s="4"/>
      <c r="E20" s="4"/>
      <c r="F20" s="4"/>
      <c r="G20" s="4"/>
      <c r="H20"/>
      <c r="I20" s="4"/>
      <c r="J20" s="4"/>
      <c r="K20" s="4">
        <v>50.6</v>
      </c>
      <c r="L20" s="4">
        <v>46</v>
      </c>
      <c r="M20" s="4"/>
      <c r="N20" s="4"/>
      <c r="O20"/>
      <c r="P20" s="6">
        <f t="shared" si="2"/>
        <v>101.2</v>
      </c>
      <c r="Q20" s="6">
        <f t="shared" si="3"/>
        <v>92</v>
      </c>
      <c r="R20" s="1">
        <v>8</v>
      </c>
      <c r="S20" s="22">
        <v>2000</v>
      </c>
      <c r="T20" s="22">
        <v>2250</v>
      </c>
      <c r="U20" s="20">
        <f t="shared" si="0"/>
        <v>202400</v>
      </c>
      <c r="V20" s="20">
        <f t="shared" si="4"/>
        <v>232700</v>
      </c>
      <c r="W20" s="7">
        <v>3</v>
      </c>
    </row>
    <row r="21" spans="1:23" s="7" customFormat="1" ht="15" customHeight="1" x14ac:dyDescent="0.2">
      <c r="A21" s="1">
        <v>9</v>
      </c>
      <c r="B21" s="4">
        <v>50.6</v>
      </c>
      <c r="C21" s="4">
        <v>46</v>
      </c>
      <c r="D21" s="4"/>
      <c r="E21" s="4"/>
      <c r="F21" s="4"/>
      <c r="G21" s="4"/>
      <c r="H21"/>
      <c r="I21" s="4"/>
      <c r="J21" s="4"/>
      <c r="K21" s="4">
        <v>50.6</v>
      </c>
      <c r="L21" s="4">
        <v>46</v>
      </c>
      <c r="M21" s="4"/>
      <c r="N21" s="4"/>
      <c r="O21"/>
      <c r="P21" s="6">
        <f t="shared" si="2"/>
        <v>101.2</v>
      </c>
      <c r="Q21" s="6">
        <f t="shared" si="3"/>
        <v>92</v>
      </c>
      <c r="R21" s="1">
        <v>9</v>
      </c>
      <c r="S21" s="22">
        <v>2000</v>
      </c>
      <c r="T21" s="22">
        <v>2250</v>
      </c>
      <c r="U21" s="20">
        <f t="shared" si="0"/>
        <v>202400</v>
      </c>
      <c r="V21" s="20">
        <f t="shared" si="1"/>
        <v>227700</v>
      </c>
      <c r="W21" s="7">
        <v>2</v>
      </c>
    </row>
    <row r="22" spans="1:23" s="7" customFormat="1" ht="15" customHeight="1" x14ac:dyDescent="0.2">
      <c r="A22" s="1">
        <v>10</v>
      </c>
      <c r="B22" s="4">
        <v>50.6</v>
      </c>
      <c r="C22" s="4">
        <v>46</v>
      </c>
      <c r="D22" s="4"/>
      <c r="E22" s="4"/>
      <c r="F22" s="4"/>
      <c r="G22" s="4"/>
      <c r="H22"/>
      <c r="I22" s="4"/>
      <c r="J22" s="4"/>
      <c r="K22" s="4">
        <v>50.6</v>
      </c>
      <c r="L22" s="4">
        <v>46</v>
      </c>
      <c r="M22" s="4"/>
      <c r="N22" s="4"/>
      <c r="O22"/>
      <c r="P22" s="6">
        <f t="shared" si="2"/>
        <v>101.2</v>
      </c>
      <c r="Q22" s="6">
        <f t="shared" si="3"/>
        <v>92</v>
      </c>
      <c r="R22" s="1">
        <v>10</v>
      </c>
      <c r="S22" s="22">
        <v>2000</v>
      </c>
      <c r="T22" s="22">
        <v>2250</v>
      </c>
      <c r="U22" s="20">
        <f t="shared" si="0"/>
        <v>202400</v>
      </c>
      <c r="V22" s="20">
        <f>((T22*P22)+5000)</f>
        <v>232700</v>
      </c>
      <c r="W22" s="7">
        <v>3</v>
      </c>
    </row>
    <row r="23" spans="1:23" s="7" customFormat="1" ht="15" customHeight="1" x14ac:dyDescent="0.2">
      <c r="A23" s="1">
        <v>11</v>
      </c>
      <c r="B23" s="4">
        <v>50.6</v>
      </c>
      <c r="C23" s="4">
        <v>46</v>
      </c>
      <c r="D23" s="4"/>
      <c r="E23" s="4"/>
      <c r="F23" s="4"/>
      <c r="G23" s="4"/>
      <c r="H23"/>
      <c r="I23" s="4"/>
      <c r="J23" s="4"/>
      <c r="K23" s="4">
        <v>50.6</v>
      </c>
      <c r="L23" s="4">
        <v>46</v>
      </c>
      <c r="M23" s="4"/>
      <c r="N23" s="4"/>
      <c r="O23"/>
      <c r="P23" s="6">
        <f t="shared" si="2"/>
        <v>101.2</v>
      </c>
      <c r="Q23" s="6">
        <f t="shared" si="3"/>
        <v>92</v>
      </c>
      <c r="R23" s="1">
        <v>11</v>
      </c>
      <c r="S23" s="22">
        <v>2000</v>
      </c>
      <c r="T23" s="22">
        <v>2250</v>
      </c>
      <c r="U23" s="20">
        <f t="shared" si="0"/>
        <v>202400</v>
      </c>
      <c r="V23" s="20">
        <f>((T23*P23)+5000)</f>
        <v>232700</v>
      </c>
      <c r="W23" s="7">
        <v>3</v>
      </c>
    </row>
    <row r="24" spans="1:23" s="7" customFormat="1" ht="15" customHeight="1" x14ac:dyDescent="0.2">
      <c r="A24" s="1">
        <v>12</v>
      </c>
      <c r="B24" s="4">
        <v>152.6</v>
      </c>
      <c r="C24" s="4">
        <v>140.6</v>
      </c>
      <c r="D24" s="4"/>
      <c r="E24" s="4"/>
      <c r="F24" s="4"/>
      <c r="G24" s="4"/>
      <c r="H24"/>
      <c r="I24" s="4"/>
      <c r="J24" s="4"/>
      <c r="K24" s="4">
        <v>152.6</v>
      </c>
      <c r="L24" s="4">
        <v>140.6</v>
      </c>
      <c r="M24" s="4">
        <v>51.4</v>
      </c>
      <c r="N24" s="4">
        <v>44.6</v>
      </c>
      <c r="O24"/>
      <c r="P24" s="6">
        <f>SUM(B24+K24+M24)</f>
        <v>356.59999999999997</v>
      </c>
      <c r="Q24" s="6">
        <f>SUM(C24+L24+N24)</f>
        <v>325.8</v>
      </c>
      <c r="R24" s="1">
        <v>12</v>
      </c>
      <c r="S24" s="22">
        <v>2000</v>
      </c>
      <c r="T24" s="22">
        <v>2150</v>
      </c>
      <c r="U24" s="20">
        <f t="shared" si="0"/>
        <v>713199.99999999988</v>
      </c>
      <c r="V24" s="20">
        <f t="shared" si="1"/>
        <v>766689.99999999988</v>
      </c>
      <c r="W24" s="7">
        <v>4</v>
      </c>
    </row>
    <row r="25" spans="1:23" s="7" customFormat="1" ht="15" customHeight="1" x14ac:dyDescent="0.2">
      <c r="A25" s="1">
        <v>13</v>
      </c>
      <c r="B25" s="4">
        <v>152.6</v>
      </c>
      <c r="C25" s="4">
        <v>142.4</v>
      </c>
      <c r="D25" s="4"/>
      <c r="E25" s="4"/>
      <c r="F25" s="4"/>
      <c r="G25" s="4"/>
      <c r="H25"/>
      <c r="I25" s="4"/>
      <c r="J25" s="4"/>
      <c r="K25" s="4">
        <v>152.6</v>
      </c>
      <c r="L25" s="4">
        <v>142.4</v>
      </c>
      <c r="M25" s="4"/>
      <c r="N25" s="4"/>
      <c r="O25"/>
      <c r="P25" s="6">
        <f>SUM(B25+K25)</f>
        <v>305.2</v>
      </c>
      <c r="Q25" s="6">
        <f>SUM(C25+L25)</f>
        <v>284.8</v>
      </c>
      <c r="R25" s="1">
        <v>13</v>
      </c>
      <c r="S25" s="22">
        <v>2000</v>
      </c>
      <c r="T25" s="22">
        <v>2150</v>
      </c>
      <c r="U25" s="20">
        <f t="shared" si="0"/>
        <v>610400</v>
      </c>
      <c r="V25" s="20">
        <f t="shared" si="1"/>
        <v>656180</v>
      </c>
      <c r="W25" s="7">
        <v>5</v>
      </c>
    </row>
    <row r="26" spans="1:23" s="7" customFormat="1" ht="15" customHeight="1" x14ac:dyDescent="0.2">
      <c r="A26" s="1">
        <v>14</v>
      </c>
      <c r="B26" s="4">
        <v>50.6</v>
      </c>
      <c r="C26" s="4">
        <v>46.9</v>
      </c>
      <c r="D26" s="4">
        <v>50.6</v>
      </c>
      <c r="E26" s="4">
        <v>46.9</v>
      </c>
      <c r="F26" s="4"/>
      <c r="G26" s="4"/>
      <c r="H26"/>
      <c r="I26" s="4"/>
      <c r="J26" s="4"/>
      <c r="K26" s="4" t="s">
        <v>18</v>
      </c>
      <c r="L26" s="4" t="s">
        <v>18</v>
      </c>
      <c r="M26" s="4"/>
      <c r="N26" s="4"/>
      <c r="O26"/>
      <c r="P26" s="6">
        <f>SUM(B26+D26)</f>
        <v>101.2</v>
      </c>
      <c r="Q26" s="6">
        <f>SUM(C26+E26)</f>
        <v>93.8</v>
      </c>
      <c r="R26" s="1">
        <v>14</v>
      </c>
      <c r="S26" s="22">
        <v>2000</v>
      </c>
      <c r="T26" s="22">
        <v>2250</v>
      </c>
      <c r="U26" s="20">
        <f t="shared" si="0"/>
        <v>202400</v>
      </c>
      <c r="V26" s="20">
        <f t="shared" si="1"/>
        <v>227700</v>
      </c>
      <c r="W26" s="7">
        <v>6</v>
      </c>
    </row>
    <row r="27" spans="1:23" s="7" customFormat="1" ht="15" customHeight="1" x14ac:dyDescent="0.2">
      <c r="A27" s="1">
        <v>15</v>
      </c>
      <c r="B27" s="4">
        <v>50.6</v>
      </c>
      <c r="C27" s="4">
        <v>46.9</v>
      </c>
      <c r="D27" s="4">
        <v>50.6</v>
      </c>
      <c r="E27" s="4">
        <v>46.9</v>
      </c>
      <c r="F27" s="4"/>
      <c r="G27" s="4"/>
      <c r="H27"/>
      <c r="I27" s="4"/>
      <c r="J27" s="4"/>
      <c r="K27" s="4" t="s">
        <v>18</v>
      </c>
      <c r="L27" s="4" t="s">
        <v>18</v>
      </c>
      <c r="M27" s="4"/>
      <c r="N27" s="4"/>
      <c r="O27"/>
      <c r="P27" s="6">
        <f t="shared" ref="P27:P45" si="5">SUM(B27+D27)</f>
        <v>101.2</v>
      </c>
      <c r="Q27" s="6">
        <f t="shared" ref="Q27:Q45" si="6">SUM(C27+E27)</f>
        <v>93.8</v>
      </c>
      <c r="R27" s="1">
        <v>15</v>
      </c>
      <c r="S27" s="22">
        <v>2000</v>
      </c>
      <c r="T27" s="22">
        <v>2250</v>
      </c>
      <c r="U27" s="20">
        <f t="shared" si="0"/>
        <v>202400</v>
      </c>
      <c r="V27" s="20">
        <f t="shared" si="1"/>
        <v>227700</v>
      </c>
      <c r="W27" s="7">
        <v>6</v>
      </c>
    </row>
    <row r="28" spans="1:23" s="7" customFormat="1" ht="15" customHeight="1" x14ac:dyDescent="0.2">
      <c r="A28" s="1">
        <v>16</v>
      </c>
      <c r="B28" s="4">
        <v>50.6</v>
      </c>
      <c r="C28" s="4">
        <v>46.9</v>
      </c>
      <c r="D28" s="4">
        <v>50.6</v>
      </c>
      <c r="E28" s="4">
        <v>46.9</v>
      </c>
      <c r="F28" s="4"/>
      <c r="G28" s="4"/>
      <c r="H28"/>
      <c r="I28" s="4"/>
      <c r="J28" s="4"/>
      <c r="K28" s="4" t="s">
        <v>18</v>
      </c>
      <c r="L28" s="4" t="s">
        <v>18</v>
      </c>
      <c r="M28" s="4"/>
      <c r="N28" s="4"/>
      <c r="O28"/>
      <c r="P28" s="6">
        <f t="shared" si="5"/>
        <v>101.2</v>
      </c>
      <c r="Q28" s="6">
        <f t="shared" si="6"/>
        <v>93.8</v>
      </c>
      <c r="R28" s="1">
        <v>16</v>
      </c>
      <c r="S28" s="22">
        <v>2000</v>
      </c>
      <c r="T28" s="22">
        <v>2250</v>
      </c>
      <c r="U28" s="20">
        <f t="shared" si="0"/>
        <v>202400</v>
      </c>
      <c r="V28" s="20">
        <f t="shared" si="1"/>
        <v>227700</v>
      </c>
      <c r="W28" s="7">
        <v>6</v>
      </c>
    </row>
    <row r="29" spans="1:23" s="7" customFormat="1" ht="15" customHeight="1" x14ac:dyDescent="0.2">
      <c r="A29" s="1">
        <v>17</v>
      </c>
      <c r="B29" s="4">
        <v>50.6</v>
      </c>
      <c r="C29" s="4">
        <v>46.9</v>
      </c>
      <c r="D29" s="4">
        <v>50.6</v>
      </c>
      <c r="E29" s="4">
        <v>46.9</v>
      </c>
      <c r="F29" s="4"/>
      <c r="G29" s="4"/>
      <c r="H29"/>
      <c r="I29" s="4"/>
      <c r="J29" s="4"/>
      <c r="K29" s="4" t="s">
        <v>18</v>
      </c>
      <c r="L29" s="4" t="s">
        <v>18</v>
      </c>
      <c r="M29" s="4"/>
      <c r="N29" s="4"/>
      <c r="O29"/>
      <c r="P29" s="6">
        <f t="shared" si="5"/>
        <v>101.2</v>
      </c>
      <c r="Q29" s="6">
        <f t="shared" si="6"/>
        <v>93.8</v>
      </c>
      <c r="R29" s="1">
        <v>17</v>
      </c>
      <c r="S29" s="22">
        <v>2000</v>
      </c>
      <c r="T29" s="22">
        <v>2250</v>
      </c>
      <c r="U29" s="20">
        <f t="shared" si="0"/>
        <v>202400</v>
      </c>
      <c r="V29" s="20">
        <f t="shared" si="1"/>
        <v>227700</v>
      </c>
      <c r="W29" s="7">
        <v>6</v>
      </c>
    </row>
    <row r="30" spans="1:23" s="7" customFormat="1" ht="15" customHeight="1" x14ac:dyDescent="0.2">
      <c r="A30" s="1">
        <v>18</v>
      </c>
      <c r="B30" s="4">
        <v>50.6</v>
      </c>
      <c r="C30" s="4">
        <v>46.9</v>
      </c>
      <c r="D30" s="4">
        <v>50.6</v>
      </c>
      <c r="E30" s="4">
        <v>46.9</v>
      </c>
      <c r="F30" s="4"/>
      <c r="G30" s="4"/>
      <c r="H30"/>
      <c r="I30" s="4"/>
      <c r="J30" s="4"/>
      <c r="K30" s="4" t="s">
        <v>18</v>
      </c>
      <c r="L30" s="4" t="s">
        <v>18</v>
      </c>
      <c r="M30" s="4"/>
      <c r="N30" s="4"/>
      <c r="O30"/>
      <c r="P30" s="6">
        <f t="shared" si="5"/>
        <v>101.2</v>
      </c>
      <c r="Q30" s="6">
        <f t="shared" si="6"/>
        <v>93.8</v>
      </c>
      <c r="R30" s="1">
        <v>18</v>
      </c>
      <c r="S30" s="22">
        <v>2000</v>
      </c>
      <c r="T30" s="22">
        <v>2250</v>
      </c>
      <c r="U30" s="20">
        <f t="shared" si="0"/>
        <v>202400</v>
      </c>
      <c r="V30" s="20">
        <f t="shared" si="1"/>
        <v>227700</v>
      </c>
      <c r="W30" s="7">
        <v>6</v>
      </c>
    </row>
    <row r="31" spans="1:23" s="7" customFormat="1" ht="15" customHeight="1" x14ac:dyDescent="0.2">
      <c r="A31" s="1">
        <v>19</v>
      </c>
      <c r="B31" s="4">
        <v>50.6</v>
      </c>
      <c r="C31" s="4">
        <v>46.9</v>
      </c>
      <c r="D31" s="4">
        <v>50.6</v>
      </c>
      <c r="E31" s="4">
        <v>46.9</v>
      </c>
      <c r="F31" s="4"/>
      <c r="G31" s="4"/>
      <c r="H31"/>
      <c r="I31" s="4"/>
      <c r="J31" s="4"/>
      <c r="K31" s="4" t="s">
        <v>18</v>
      </c>
      <c r="L31" s="4" t="s">
        <v>18</v>
      </c>
      <c r="M31" s="4"/>
      <c r="N31" s="4"/>
      <c r="O31"/>
      <c r="P31" s="6">
        <f t="shared" si="5"/>
        <v>101.2</v>
      </c>
      <c r="Q31" s="6">
        <f t="shared" si="6"/>
        <v>93.8</v>
      </c>
      <c r="R31" s="1">
        <v>19</v>
      </c>
      <c r="S31" s="22">
        <v>2000</v>
      </c>
      <c r="T31" s="22">
        <v>2250</v>
      </c>
      <c r="U31" s="20">
        <f t="shared" si="0"/>
        <v>202400</v>
      </c>
      <c r="V31" s="20">
        <f t="shared" si="1"/>
        <v>227700</v>
      </c>
      <c r="W31" s="7">
        <v>6</v>
      </c>
    </row>
    <row r="32" spans="1:23" s="7" customFormat="1" ht="15" customHeight="1" x14ac:dyDescent="0.2">
      <c r="A32" s="1">
        <v>20</v>
      </c>
      <c r="B32" s="4">
        <v>50.6</v>
      </c>
      <c r="C32" s="4">
        <v>46.9</v>
      </c>
      <c r="D32" s="4">
        <v>50.6</v>
      </c>
      <c r="E32" s="4">
        <v>46.9</v>
      </c>
      <c r="F32" s="4"/>
      <c r="G32" s="4"/>
      <c r="H32"/>
      <c r="I32" s="4"/>
      <c r="J32" s="4"/>
      <c r="K32" s="4" t="s">
        <v>18</v>
      </c>
      <c r="L32" s="4" t="s">
        <v>18</v>
      </c>
      <c r="M32" s="4"/>
      <c r="N32" s="4"/>
      <c r="O32"/>
      <c r="P32" s="6">
        <f t="shared" si="5"/>
        <v>101.2</v>
      </c>
      <c r="Q32" s="6">
        <f t="shared" si="6"/>
        <v>93.8</v>
      </c>
      <c r="R32" s="1">
        <v>20</v>
      </c>
      <c r="S32" s="22">
        <v>2000</v>
      </c>
      <c r="T32" s="22">
        <v>2250</v>
      </c>
      <c r="U32" s="20">
        <f t="shared" si="0"/>
        <v>202400</v>
      </c>
      <c r="V32" s="20">
        <f t="shared" si="1"/>
        <v>227700</v>
      </c>
      <c r="W32" s="7">
        <v>6</v>
      </c>
    </row>
    <row r="33" spans="1:23" s="7" customFormat="1" ht="15" customHeight="1" x14ac:dyDescent="0.2">
      <c r="A33" s="1">
        <v>21</v>
      </c>
      <c r="B33" s="4">
        <v>50.6</v>
      </c>
      <c r="C33" s="4">
        <v>46.9</v>
      </c>
      <c r="D33" s="4">
        <v>50.6</v>
      </c>
      <c r="E33" s="4">
        <v>46.9</v>
      </c>
      <c r="F33" s="4"/>
      <c r="G33" s="4"/>
      <c r="H33"/>
      <c r="I33" s="4"/>
      <c r="J33" s="4"/>
      <c r="K33" s="4" t="s">
        <v>18</v>
      </c>
      <c r="L33" s="4" t="s">
        <v>18</v>
      </c>
      <c r="M33" s="4"/>
      <c r="N33" s="4"/>
      <c r="O33"/>
      <c r="P33" s="6">
        <f t="shared" si="5"/>
        <v>101.2</v>
      </c>
      <c r="Q33" s="6">
        <f t="shared" si="6"/>
        <v>93.8</v>
      </c>
      <c r="R33" s="1">
        <v>21</v>
      </c>
      <c r="S33" s="22">
        <v>2000</v>
      </c>
      <c r="T33" s="22">
        <v>2250</v>
      </c>
      <c r="U33" s="20">
        <f t="shared" si="0"/>
        <v>202400</v>
      </c>
      <c r="V33" s="20">
        <f t="shared" si="1"/>
        <v>227700</v>
      </c>
      <c r="W33" s="7">
        <v>6</v>
      </c>
    </row>
    <row r="34" spans="1:23" s="7" customFormat="1" ht="15" customHeight="1" x14ac:dyDescent="0.2">
      <c r="A34" s="1">
        <v>22</v>
      </c>
      <c r="B34" s="4">
        <v>50.6</v>
      </c>
      <c r="C34" s="4">
        <v>46.9</v>
      </c>
      <c r="D34" s="4">
        <v>50.6</v>
      </c>
      <c r="E34" s="4">
        <v>46.9</v>
      </c>
      <c r="F34" s="4"/>
      <c r="G34" s="4"/>
      <c r="H34"/>
      <c r="I34" s="4"/>
      <c r="J34" s="4"/>
      <c r="K34" s="4" t="s">
        <v>18</v>
      </c>
      <c r="L34" s="4" t="s">
        <v>18</v>
      </c>
      <c r="M34" s="4"/>
      <c r="N34" s="4"/>
      <c r="O34"/>
      <c r="P34" s="6">
        <f t="shared" si="5"/>
        <v>101.2</v>
      </c>
      <c r="Q34" s="6">
        <f t="shared" si="6"/>
        <v>93.8</v>
      </c>
      <c r="R34" s="1">
        <v>22</v>
      </c>
      <c r="S34" s="22">
        <v>2000</v>
      </c>
      <c r="T34" s="22">
        <v>2250</v>
      </c>
      <c r="U34" s="20">
        <f t="shared" si="0"/>
        <v>202400</v>
      </c>
      <c r="V34" s="20">
        <f t="shared" si="1"/>
        <v>227700</v>
      </c>
      <c r="W34" s="7">
        <v>6</v>
      </c>
    </row>
    <row r="35" spans="1:23" s="7" customFormat="1" ht="15" customHeight="1" x14ac:dyDescent="0.2">
      <c r="A35" s="1">
        <v>23</v>
      </c>
      <c r="B35" s="4">
        <v>51.4</v>
      </c>
      <c r="C35" s="4">
        <v>46.6</v>
      </c>
      <c r="D35" s="4">
        <v>51.4</v>
      </c>
      <c r="E35" s="4">
        <v>46.6</v>
      </c>
      <c r="F35" s="4"/>
      <c r="G35" s="4"/>
      <c r="H35"/>
      <c r="I35" s="4"/>
      <c r="J35" s="4"/>
      <c r="K35" s="4" t="s">
        <v>18</v>
      </c>
      <c r="L35" s="4" t="s">
        <v>18</v>
      </c>
      <c r="M35" s="4"/>
      <c r="N35" s="4"/>
      <c r="O35"/>
      <c r="P35" s="6">
        <f t="shared" si="5"/>
        <v>102.8</v>
      </c>
      <c r="Q35" s="6">
        <f t="shared" si="6"/>
        <v>93.2</v>
      </c>
      <c r="R35" s="1">
        <v>23</v>
      </c>
      <c r="S35" s="22">
        <v>2000</v>
      </c>
      <c r="T35" s="22">
        <v>2250</v>
      </c>
      <c r="U35" s="20">
        <f t="shared" si="0"/>
        <v>205600</v>
      </c>
      <c r="V35" s="20">
        <f t="shared" si="1"/>
        <v>231300</v>
      </c>
      <c r="W35" s="7">
        <v>6</v>
      </c>
    </row>
    <row r="36" spans="1:23" s="7" customFormat="1" ht="15" customHeight="1" x14ac:dyDescent="0.2">
      <c r="A36" s="1">
        <v>24</v>
      </c>
      <c r="B36" s="4">
        <v>51.4</v>
      </c>
      <c r="C36" s="4">
        <v>46.6</v>
      </c>
      <c r="D36" s="4">
        <v>51.4</v>
      </c>
      <c r="E36" s="4">
        <v>46.6</v>
      </c>
      <c r="F36" s="4"/>
      <c r="G36" s="4"/>
      <c r="H36"/>
      <c r="I36" s="4"/>
      <c r="J36" s="4"/>
      <c r="K36" s="4" t="s">
        <v>18</v>
      </c>
      <c r="L36" s="4" t="s">
        <v>18</v>
      </c>
      <c r="M36" s="4"/>
      <c r="N36" s="4"/>
      <c r="O36"/>
      <c r="P36" s="6">
        <f t="shared" si="5"/>
        <v>102.8</v>
      </c>
      <c r="Q36" s="6">
        <f t="shared" si="6"/>
        <v>93.2</v>
      </c>
      <c r="R36" s="1">
        <v>24</v>
      </c>
      <c r="S36" s="22">
        <v>2000</v>
      </c>
      <c r="T36" s="22">
        <v>2250</v>
      </c>
      <c r="U36" s="20">
        <f t="shared" si="0"/>
        <v>205600</v>
      </c>
      <c r="V36" s="20">
        <f t="shared" si="1"/>
        <v>231300</v>
      </c>
      <c r="W36" s="7">
        <v>6</v>
      </c>
    </row>
    <row r="37" spans="1:23" s="7" customFormat="1" ht="15" customHeight="1" x14ac:dyDescent="0.2">
      <c r="A37" s="1">
        <v>25</v>
      </c>
      <c r="B37" s="4">
        <v>50.6</v>
      </c>
      <c r="C37" s="4">
        <v>46.9</v>
      </c>
      <c r="D37" s="4">
        <v>50.6</v>
      </c>
      <c r="E37" s="4">
        <v>46.9</v>
      </c>
      <c r="F37" s="4"/>
      <c r="G37" s="4"/>
      <c r="H37"/>
      <c r="I37" s="4"/>
      <c r="J37" s="4"/>
      <c r="K37" s="4" t="s">
        <v>18</v>
      </c>
      <c r="L37" s="4" t="s">
        <v>18</v>
      </c>
      <c r="M37" s="4"/>
      <c r="N37" s="4"/>
      <c r="O37"/>
      <c r="P37" s="6">
        <f t="shared" si="5"/>
        <v>101.2</v>
      </c>
      <c r="Q37" s="6">
        <f t="shared" si="6"/>
        <v>93.8</v>
      </c>
      <c r="R37" s="1">
        <v>25</v>
      </c>
      <c r="S37" s="22">
        <v>2000</v>
      </c>
      <c r="T37" s="22">
        <v>2250</v>
      </c>
      <c r="U37" s="20">
        <f t="shared" si="0"/>
        <v>202400</v>
      </c>
      <c r="V37" s="20">
        <f t="shared" si="1"/>
        <v>227700</v>
      </c>
      <c r="W37" s="7">
        <v>6</v>
      </c>
    </row>
    <row r="38" spans="1:23" s="7" customFormat="1" ht="15" customHeight="1" x14ac:dyDescent="0.2">
      <c r="A38" s="1">
        <v>26</v>
      </c>
      <c r="B38" s="4">
        <v>50.6</v>
      </c>
      <c r="C38" s="4">
        <v>46.9</v>
      </c>
      <c r="D38" s="4">
        <v>50.6</v>
      </c>
      <c r="E38" s="4">
        <v>46.9</v>
      </c>
      <c r="F38" s="4"/>
      <c r="G38" s="4"/>
      <c r="H38"/>
      <c r="I38" s="4"/>
      <c r="J38" s="4"/>
      <c r="K38" s="4" t="s">
        <v>18</v>
      </c>
      <c r="L38" s="4" t="s">
        <v>18</v>
      </c>
      <c r="M38" s="4"/>
      <c r="N38" s="4"/>
      <c r="O38"/>
      <c r="P38" s="6">
        <f t="shared" si="5"/>
        <v>101.2</v>
      </c>
      <c r="Q38" s="6">
        <f t="shared" si="6"/>
        <v>93.8</v>
      </c>
      <c r="R38" s="1">
        <v>26</v>
      </c>
      <c r="S38" s="22">
        <v>2000</v>
      </c>
      <c r="T38" s="22">
        <v>2250</v>
      </c>
      <c r="U38" s="20">
        <f t="shared" si="0"/>
        <v>202400</v>
      </c>
      <c r="V38" s="20">
        <f t="shared" si="1"/>
        <v>227700</v>
      </c>
      <c r="W38" s="7">
        <v>6</v>
      </c>
    </row>
    <row r="39" spans="1:23" s="7" customFormat="1" ht="15" customHeight="1" x14ac:dyDescent="0.2">
      <c r="A39" s="1">
        <v>27</v>
      </c>
      <c r="B39" s="4">
        <v>50.6</v>
      </c>
      <c r="C39" s="4">
        <v>46.9</v>
      </c>
      <c r="D39" s="4">
        <v>50.6</v>
      </c>
      <c r="E39" s="4">
        <v>46.9</v>
      </c>
      <c r="F39" s="4"/>
      <c r="G39" s="4"/>
      <c r="H39"/>
      <c r="I39" s="4"/>
      <c r="J39" s="4"/>
      <c r="K39" s="4" t="s">
        <v>18</v>
      </c>
      <c r="L39" s="4" t="s">
        <v>18</v>
      </c>
      <c r="M39" s="4"/>
      <c r="N39" s="4"/>
      <c r="O39"/>
      <c r="P39" s="6">
        <f t="shared" si="5"/>
        <v>101.2</v>
      </c>
      <c r="Q39" s="6">
        <f t="shared" si="6"/>
        <v>93.8</v>
      </c>
      <c r="R39" s="1">
        <v>27</v>
      </c>
      <c r="S39" s="22">
        <v>2000</v>
      </c>
      <c r="T39" s="22">
        <v>2250</v>
      </c>
      <c r="U39" s="20">
        <f t="shared" si="0"/>
        <v>202400</v>
      </c>
      <c r="V39" s="20">
        <f t="shared" si="1"/>
        <v>227700</v>
      </c>
      <c r="W39" s="7">
        <v>6</v>
      </c>
    </row>
    <row r="40" spans="1:23" s="7" customFormat="1" ht="15" customHeight="1" x14ac:dyDescent="0.2">
      <c r="A40" s="1">
        <v>28</v>
      </c>
      <c r="B40" s="4">
        <v>50.6</v>
      </c>
      <c r="C40" s="4">
        <v>46.9</v>
      </c>
      <c r="D40" s="4">
        <v>50.6</v>
      </c>
      <c r="E40" s="4">
        <v>46.9</v>
      </c>
      <c r="F40" s="4"/>
      <c r="G40" s="4"/>
      <c r="H40"/>
      <c r="I40" s="4"/>
      <c r="J40" s="4"/>
      <c r="K40" s="4" t="s">
        <v>18</v>
      </c>
      <c r="L40" s="4" t="s">
        <v>18</v>
      </c>
      <c r="M40" s="4"/>
      <c r="N40" s="4"/>
      <c r="O40"/>
      <c r="P40" s="6">
        <f t="shared" si="5"/>
        <v>101.2</v>
      </c>
      <c r="Q40" s="6">
        <f t="shared" si="6"/>
        <v>93.8</v>
      </c>
      <c r="R40" s="1">
        <v>28</v>
      </c>
      <c r="S40" s="22">
        <v>2000</v>
      </c>
      <c r="T40" s="22">
        <v>2250</v>
      </c>
      <c r="U40" s="20">
        <f t="shared" si="0"/>
        <v>202400</v>
      </c>
      <c r="V40" s="20">
        <f t="shared" si="1"/>
        <v>227700</v>
      </c>
      <c r="W40" s="7">
        <v>6</v>
      </c>
    </row>
    <row r="41" spans="1:23" s="7" customFormat="1" ht="15" customHeight="1" x14ac:dyDescent="0.2">
      <c r="A41" s="1">
        <v>29</v>
      </c>
      <c r="B41" s="4">
        <v>50.6</v>
      </c>
      <c r="C41" s="4">
        <v>46.9</v>
      </c>
      <c r="D41" s="4">
        <v>50.6</v>
      </c>
      <c r="E41" s="4">
        <v>46.9</v>
      </c>
      <c r="F41" s="4"/>
      <c r="G41" s="4"/>
      <c r="H41"/>
      <c r="I41" s="4"/>
      <c r="J41" s="4"/>
      <c r="K41" s="4" t="s">
        <v>18</v>
      </c>
      <c r="L41" s="4" t="s">
        <v>18</v>
      </c>
      <c r="M41" s="4"/>
      <c r="N41" s="4"/>
      <c r="O41"/>
      <c r="P41" s="6">
        <f t="shared" si="5"/>
        <v>101.2</v>
      </c>
      <c r="Q41" s="6">
        <f t="shared" si="6"/>
        <v>93.8</v>
      </c>
      <c r="R41" s="1">
        <v>29</v>
      </c>
      <c r="S41" s="22">
        <v>2000</v>
      </c>
      <c r="T41" s="22">
        <v>2250</v>
      </c>
      <c r="U41" s="20">
        <f t="shared" si="0"/>
        <v>202400</v>
      </c>
      <c r="V41" s="20">
        <f t="shared" si="1"/>
        <v>227700</v>
      </c>
      <c r="W41" s="7">
        <v>6</v>
      </c>
    </row>
    <row r="42" spans="1:23" s="7" customFormat="1" ht="15" customHeight="1" x14ac:dyDescent="0.2">
      <c r="A42" s="1">
        <v>30</v>
      </c>
      <c r="B42" s="4">
        <v>50.6</v>
      </c>
      <c r="C42" s="4">
        <v>46.9</v>
      </c>
      <c r="D42" s="4">
        <v>50.6</v>
      </c>
      <c r="E42" s="4">
        <v>46.9</v>
      </c>
      <c r="F42" s="4"/>
      <c r="G42" s="4"/>
      <c r="H42"/>
      <c r="I42" s="4"/>
      <c r="J42" s="4"/>
      <c r="K42" s="4" t="s">
        <v>18</v>
      </c>
      <c r="L42" s="4" t="s">
        <v>18</v>
      </c>
      <c r="M42" s="4"/>
      <c r="N42" s="4"/>
      <c r="O42"/>
      <c r="P42" s="6">
        <f t="shared" si="5"/>
        <v>101.2</v>
      </c>
      <c r="Q42" s="6">
        <f t="shared" si="6"/>
        <v>93.8</v>
      </c>
      <c r="R42" s="1">
        <v>30</v>
      </c>
      <c r="S42" s="22">
        <v>2000</v>
      </c>
      <c r="T42" s="22">
        <v>2250</v>
      </c>
      <c r="U42" s="20">
        <f t="shared" si="0"/>
        <v>202400</v>
      </c>
      <c r="V42" s="20">
        <f t="shared" si="1"/>
        <v>227700</v>
      </c>
      <c r="W42" s="7">
        <v>6</v>
      </c>
    </row>
    <row r="43" spans="1:23" s="7" customFormat="1" ht="15" customHeight="1" x14ac:dyDescent="0.2">
      <c r="A43" s="1">
        <v>31</v>
      </c>
      <c r="B43" s="4">
        <v>50.6</v>
      </c>
      <c r="C43" s="4">
        <v>46.9</v>
      </c>
      <c r="D43" s="4">
        <v>50.6</v>
      </c>
      <c r="E43" s="4">
        <v>46.9</v>
      </c>
      <c r="F43" s="4"/>
      <c r="G43" s="4"/>
      <c r="H43"/>
      <c r="I43" s="4"/>
      <c r="J43" s="4"/>
      <c r="K43" s="4" t="s">
        <v>18</v>
      </c>
      <c r="L43" s="4" t="s">
        <v>18</v>
      </c>
      <c r="M43" s="4"/>
      <c r="N43" s="4"/>
      <c r="O43"/>
      <c r="P43" s="6">
        <f t="shared" si="5"/>
        <v>101.2</v>
      </c>
      <c r="Q43" s="6">
        <f t="shared" si="6"/>
        <v>93.8</v>
      </c>
      <c r="R43" s="1">
        <v>31</v>
      </c>
      <c r="S43" s="22">
        <v>2000</v>
      </c>
      <c r="T43" s="22">
        <v>2250</v>
      </c>
      <c r="U43" s="20">
        <f t="shared" si="0"/>
        <v>202400</v>
      </c>
      <c r="V43" s="20">
        <f t="shared" si="1"/>
        <v>227700</v>
      </c>
      <c r="W43" s="7">
        <v>6</v>
      </c>
    </row>
    <row r="44" spans="1:23" s="7" customFormat="1" ht="15" customHeight="1" x14ac:dyDescent="0.2">
      <c r="A44" s="1">
        <v>32</v>
      </c>
      <c r="B44" s="4">
        <v>50.6</v>
      </c>
      <c r="C44" s="4">
        <v>46.9</v>
      </c>
      <c r="D44" s="4">
        <v>50.6</v>
      </c>
      <c r="E44" s="4">
        <v>46.9</v>
      </c>
      <c r="F44" s="4"/>
      <c r="G44" s="4"/>
      <c r="H44"/>
      <c r="I44" s="4"/>
      <c r="J44" s="4"/>
      <c r="K44" s="4" t="s">
        <v>18</v>
      </c>
      <c r="L44" s="4" t="s">
        <v>18</v>
      </c>
      <c r="M44" s="4"/>
      <c r="N44" s="4"/>
      <c r="O44"/>
      <c r="P44" s="6">
        <f t="shared" si="5"/>
        <v>101.2</v>
      </c>
      <c r="Q44" s="6">
        <f t="shared" si="6"/>
        <v>93.8</v>
      </c>
      <c r="R44" s="1">
        <v>32</v>
      </c>
      <c r="S44" s="22">
        <v>2000</v>
      </c>
      <c r="T44" s="22">
        <v>2250</v>
      </c>
      <c r="U44" s="20">
        <f t="shared" si="0"/>
        <v>202400</v>
      </c>
      <c r="V44" s="20">
        <f t="shared" si="1"/>
        <v>227700</v>
      </c>
      <c r="W44" s="7">
        <v>6</v>
      </c>
    </row>
    <row r="45" spans="1:23" s="7" customFormat="1" ht="15" customHeight="1" x14ac:dyDescent="0.2">
      <c r="A45" s="1">
        <v>33</v>
      </c>
      <c r="B45" s="4">
        <v>50.6</v>
      </c>
      <c r="C45" s="4">
        <v>46.9</v>
      </c>
      <c r="D45" s="4">
        <v>50.6</v>
      </c>
      <c r="E45" s="4">
        <v>46.9</v>
      </c>
      <c r="F45" s="4"/>
      <c r="G45" s="4"/>
      <c r="H45"/>
      <c r="I45" s="4"/>
      <c r="J45" s="4"/>
      <c r="K45" s="4" t="s">
        <v>18</v>
      </c>
      <c r="L45" s="4" t="s">
        <v>18</v>
      </c>
      <c r="M45" s="4"/>
      <c r="N45" s="4"/>
      <c r="O45"/>
      <c r="P45" s="6">
        <f t="shared" si="5"/>
        <v>101.2</v>
      </c>
      <c r="Q45" s="6">
        <f t="shared" si="6"/>
        <v>93.8</v>
      </c>
      <c r="R45" s="1">
        <v>33</v>
      </c>
      <c r="S45" s="22">
        <v>2000</v>
      </c>
      <c r="T45" s="22">
        <v>2250</v>
      </c>
      <c r="U45" s="20">
        <f t="shared" si="0"/>
        <v>202400</v>
      </c>
      <c r="V45" s="20">
        <f t="shared" si="1"/>
        <v>227700</v>
      </c>
      <c r="W45" s="7">
        <v>6</v>
      </c>
    </row>
    <row r="46" spans="1:23" s="7" customFormat="1" ht="15" customHeight="1" x14ac:dyDescent="0.2">
      <c r="A46" s="1">
        <v>34</v>
      </c>
      <c r="B46" s="4">
        <v>152.6</v>
      </c>
      <c r="C46" s="4">
        <v>142.4</v>
      </c>
      <c r="D46" s="4"/>
      <c r="E46" s="4"/>
      <c r="F46" s="4"/>
      <c r="G46" s="4"/>
      <c r="H46"/>
      <c r="I46" s="4"/>
      <c r="J46" s="4"/>
      <c r="K46" s="4">
        <v>152.6</v>
      </c>
      <c r="L46" s="4">
        <v>142.4</v>
      </c>
      <c r="M46" s="4"/>
      <c r="N46" s="4"/>
      <c r="O46"/>
      <c r="P46" s="6">
        <f>SUM(B46+K46)</f>
        <v>305.2</v>
      </c>
      <c r="Q46" s="6">
        <f>SUM(C46+L46)</f>
        <v>284.8</v>
      </c>
      <c r="R46" s="1">
        <v>34</v>
      </c>
      <c r="S46" s="22">
        <v>2000</v>
      </c>
      <c r="T46" s="22">
        <v>2150</v>
      </c>
      <c r="U46" s="20">
        <f t="shared" si="0"/>
        <v>610400</v>
      </c>
      <c r="V46" s="20">
        <f t="shared" si="1"/>
        <v>656180</v>
      </c>
      <c r="W46" s="7">
        <v>5</v>
      </c>
    </row>
    <row r="47" spans="1:23" s="7" customFormat="1" ht="15" customHeight="1" x14ac:dyDescent="0.2">
      <c r="A47" s="1">
        <v>35</v>
      </c>
      <c r="B47" s="4">
        <v>152.6</v>
      </c>
      <c r="C47" s="4">
        <v>142.4</v>
      </c>
      <c r="D47" s="4"/>
      <c r="E47" s="4"/>
      <c r="F47" s="4"/>
      <c r="G47" s="4"/>
      <c r="H47"/>
      <c r="I47" s="4"/>
      <c r="J47" s="4"/>
      <c r="K47" s="4">
        <v>152.6</v>
      </c>
      <c r="L47" s="4">
        <v>142.4</v>
      </c>
      <c r="M47" s="4"/>
      <c r="N47" s="4"/>
      <c r="O47"/>
      <c r="P47" s="6">
        <f>SUM(B47+K47)</f>
        <v>305.2</v>
      </c>
      <c r="Q47" s="6">
        <f>SUM(C47+L47)</f>
        <v>284.8</v>
      </c>
      <c r="R47" s="1">
        <v>35</v>
      </c>
      <c r="S47" s="22">
        <v>2000</v>
      </c>
      <c r="T47" s="22">
        <v>2150</v>
      </c>
      <c r="U47" s="20">
        <f t="shared" si="0"/>
        <v>610400</v>
      </c>
      <c r="V47" s="20">
        <f t="shared" si="1"/>
        <v>656180</v>
      </c>
      <c r="W47" s="7">
        <v>5</v>
      </c>
    </row>
    <row r="48" spans="1:23" s="7" customFormat="1" ht="15" customHeight="1" x14ac:dyDescent="0.2">
      <c r="A48" s="1">
        <v>36</v>
      </c>
      <c r="B48" s="4">
        <v>50.6</v>
      </c>
      <c r="C48" s="4">
        <v>46.9</v>
      </c>
      <c r="D48" s="4">
        <v>50.6</v>
      </c>
      <c r="E48" s="4">
        <v>46.9</v>
      </c>
      <c r="F48" s="4"/>
      <c r="G48" s="4"/>
      <c r="H48"/>
      <c r="I48" s="4"/>
      <c r="J48" s="4"/>
      <c r="K48" s="4" t="s">
        <v>18</v>
      </c>
      <c r="L48" s="4" t="s">
        <v>18</v>
      </c>
      <c r="M48" s="4"/>
      <c r="N48" s="4"/>
      <c r="O48"/>
      <c r="P48" s="6">
        <f t="shared" ref="P48:P67" si="7">SUM(B48+D48)</f>
        <v>101.2</v>
      </c>
      <c r="Q48" s="6">
        <f t="shared" ref="Q48:Q67" si="8">SUM(C48+E48)</f>
        <v>93.8</v>
      </c>
      <c r="R48" s="1">
        <v>36</v>
      </c>
      <c r="S48" s="22">
        <v>2000</v>
      </c>
      <c r="T48" s="22">
        <v>2250</v>
      </c>
      <c r="U48" s="20">
        <f t="shared" si="0"/>
        <v>202400</v>
      </c>
      <c r="V48" s="20">
        <f t="shared" si="1"/>
        <v>227700</v>
      </c>
      <c r="W48" s="7">
        <v>6</v>
      </c>
    </row>
    <row r="49" spans="1:23" s="7" customFormat="1" ht="15" customHeight="1" x14ac:dyDescent="0.2">
      <c r="A49" s="1">
        <v>37</v>
      </c>
      <c r="B49" s="4">
        <v>50.6</v>
      </c>
      <c r="C49" s="4">
        <v>46.9</v>
      </c>
      <c r="D49" s="4">
        <v>50.6</v>
      </c>
      <c r="E49" s="4">
        <v>46.9</v>
      </c>
      <c r="F49" s="4"/>
      <c r="G49" s="4"/>
      <c r="H49"/>
      <c r="I49" s="4"/>
      <c r="J49" s="4"/>
      <c r="K49" s="4" t="s">
        <v>18</v>
      </c>
      <c r="L49" s="4" t="s">
        <v>18</v>
      </c>
      <c r="M49" s="4"/>
      <c r="N49" s="4"/>
      <c r="O49"/>
      <c r="P49" s="6">
        <f t="shared" si="7"/>
        <v>101.2</v>
      </c>
      <c r="Q49" s="6">
        <f t="shared" si="8"/>
        <v>93.8</v>
      </c>
      <c r="R49" s="1">
        <v>37</v>
      </c>
      <c r="S49" s="22">
        <v>2000</v>
      </c>
      <c r="T49" s="22">
        <v>2250</v>
      </c>
      <c r="U49" s="20">
        <f t="shared" si="0"/>
        <v>202400</v>
      </c>
      <c r="V49" s="20">
        <f t="shared" si="1"/>
        <v>227700</v>
      </c>
      <c r="W49" s="7">
        <v>6</v>
      </c>
    </row>
    <row r="50" spans="1:23" s="7" customFormat="1" ht="15" customHeight="1" x14ac:dyDescent="0.2">
      <c r="A50" s="1">
        <v>38</v>
      </c>
      <c r="B50" s="4">
        <v>50.6</v>
      </c>
      <c r="C50" s="4">
        <v>46.9</v>
      </c>
      <c r="D50" s="4">
        <v>50.6</v>
      </c>
      <c r="E50" s="4">
        <v>46.9</v>
      </c>
      <c r="F50" s="4"/>
      <c r="G50" s="4"/>
      <c r="H50"/>
      <c r="I50" s="4"/>
      <c r="J50" s="4"/>
      <c r="K50" s="4" t="s">
        <v>18</v>
      </c>
      <c r="L50" s="4" t="s">
        <v>18</v>
      </c>
      <c r="M50" s="4"/>
      <c r="N50" s="4"/>
      <c r="O50"/>
      <c r="P50" s="6">
        <f t="shared" si="7"/>
        <v>101.2</v>
      </c>
      <c r="Q50" s="6">
        <f t="shared" si="8"/>
        <v>93.8</v>
      </c>
      <c r="R50" s="1">
        <v>38</v>
      </c>
      <c r="S50" s="22">
        <v>2000</v>
      </c>
      <c r="T50" s="22">
        <v>2250</v>
      </c>
      <c r="U50" s="20">
        <f t="shared" si="0"/>
        <v>202400</v>
      </c>
      <c r="V50" s="20">
        <f t="shared" si="1"/>
        <v>227700</v>
      </c>
      <c r="W50" s="7">
        <v>6</v>
      </c>
    </row>
    <row r="51" spans="1:23" s="7" customFormat="1" ht="15" customHeight="1" x14ac:dyDescent="0.2">
      <c r="A51" s="1">
        <v>39</v>
      </c>
      <c r="B51" s="4">
        <v>50.6</v>
      </c>
      <c r="C51" s="4">
        <v>46.9</v>
      </c>
      <c r="D51" s="4">
        <v>50.6</v>
      </c>
      <c r="E51" s="4">
        <v>46.9</v>
      </c>
      <c r="F51" s="4"/>
      <c r="G51" s="4"/>
      <c r="H51"/>
      <c r="I51" s="4"/>
      <c r="J51" s="4"/>
      <c r="K51" s="4" t="s">
        <v>18</v>
      </c>
      <c r="L51" s="4" t="s">
        <v>18</v>
      </c>
      <c r="M51" s="4"/>
      <c r="N51" s="4"/>
      <c r="O51"/>
      <c r="P51" s="6">
        <f t="shared" si="7"/>
        <v>101.2</v>
      </c>
      <c r="Q51" s="6">
        <f t="shared" si="8"/>
        <v>93.8</v>
      </c>
      <c r="R51" s="1">
        <v>39</v>
      </c>
      <c r="S51" s="22">
        <v>2000</v>
      </c>
      <c r="T51" s="22">
        <v>2250</v>
      </c>
      <c r="U51" s="20">
        <f t="shared" si="0"/>
        <v>202400</v>
      </c>
      <c r="V51" s="20">
        <f t="shared" si="1"/>
        <v>227700</v>
      </c>
      <c r="W51" s="7">
        <v>6</v>
      </c>
    </row>
    <row r="52" spans="1:23" s="7" customFormat="1" ht="15" customHeight="1" x14ac:dyDescent="0.2">
      <c r="A52" s="1">
        <v>40</v>
      </c>
      <c r="B52" s="4">
        <v>50.6</v>
      </c>
      <c r="C52" s="4">
        <v>46.9</v>
      </c>
      <c r="D52" s="4">
        <v>50.6</v>
      </c>
      <c r="E52" s="4">
        <v>46.9</v>
      </c>
      <c r="F52" s="4"/>
      <c r="G52" s="4"/>
      <c r="H52"/>
      <c r="I52" s="4"/>
      <c r="J52" s="4"/>
      <c r="K52" s="4" t="s">
        <v>18</v>
      </c>
      <c r="L52" s="4" t="s">
        <v>18</v>
      </c>
      <c r="M52" s="4"/>
      <c r="N52" s="4"/>
      <c r="O52"/>
      <c r="P52" s="6">
        <f t="shared" si="7"/>
        <v>101.2</v>
      </c>
      <c r="Q52" s="6">
        <f t="shared" si="8"/>
        <v>93.8</v>
      </c>
      <c r="R52" s="1">
        <v>40</v>
      </c>
      <c r="S52" s="22">
        <v>2000</v>
      </c>
      <c r="T52" s="22">
        <v>2250</v>
      </c>
      <c r="U52" s="20">
        <f t="shared" si="0"/>
        <v>202400</v>
      </c>
      <c r="V52" s="20">
        <f t="shared" si="1"/>
        <v>227700</v>
      </c>
      <c r="W52" s="7">
        <v>6</v>
      </c>
    </row>
    <row r="53" spans="1:23" s="7" customFormat="1" ht="15" customHeight="1" x14ac:dyDescent="0.2">
      <c r="A53" s="1">
        <v>41</v>
      </c>
      <c r="B53" s="4">
        <v>50.6</v>
      </c>
      <c r="C53" s="4">
        <v>46.9</v>
      </c>
      <c r="D53" s="4">
        <v>50.6</v>
      </c>
      <c r="E53" s="4">
        <v>46.9</v>
      </c>
      <c r="F53" s="4"/>
      <c r="G53" s="4"/>
      <c r="H53"/>
      <c r="I53" s="4"/>
      <c r="J53" s="4"/>
      <c r="K53" s="4" t="s">
        <v>18</v>
      </c>
      <c r="L53" s="4" t="s">
        <v>18</v>
      </c>
      <c r="M53" s="4"/>
      <c r="N53" s="4"/>
      <c r="O53"/>
      <c r="P53" s="6">
        <f t="shared" si="7"/>
        <v>101.2</v>
      </c>
      <c r="Q53" s="6">
        <f t="shared" si="8"/>
        <v>93.8</v>
      </c>
      <c r="R53" s="1">
        <v>41</v>
      </c>
      <c r="S53" s="22">
        <v>2000</v>
      </c>
      <c r="T53" s="22">
        <v>2250</v>
      </c>
      <c r="U53" s="20">
        <f t="shared" si="0"/>
        <v>202400</v>
      </c>
      <c r="V53" s="20">
        <f t="shared" si="1"/>
        <v>227700</v>
      </c>
      <c r="W53" s="7">
        <v>6</v>
      </c>
    </row>
    <row r="54" spans="1:23" s="7" customFormat="1" ht="15" customHeight="1" x14ac:dyDescent="0.2">
      <c r="A54" s="1">
        <v>42</v>
      </c>
      <c r="B54" s="4">
        <v>50.6</v>
      </c>
      <c r="C54" s="4">
        <v>46.9</v>
      </c>
      <c r="D54" s="4">
        <v>50.6</v>
      </c>
      <c r="E54" s="4">
        <v>46.9</v>
      </c>
      <c r="F54" s="4"/>
      <c r="G54" s="4"/>
      <c r="H54"/>
      <c r="I54" s="4"/>
      <c r="J54" s="4"/>
      <c r="K54" s="4" t="s">
        <v>18</v>
      </c>
      <c r="L54" s="4" t="s">
        <v>18</v>
      </c>
      <c r="M54" s="4"/>
      <c r="N54" s="4"/>
      <c r="O54"/>
      <c r="P54" s="6">
        <f t="shared" si="7"/>
        <v>101.2</v>
      </c>
      <c r="Q54" s="6">
        <f t="shared" si="8"/>
        <v>93.8</v>
      </c>
      <c r="R54" s="1">
        <v>42</v>
      </c>
      <c r="S54" s="22">
        <v>2000</v>
      </c>
      <c r="T54" s="22">
        <v>2250</v>
      </c>
      <c r="U54" s="20">
        <f t="shared" si="0"/>
        <v>202400</v>
      </c>
      <c r="V54" s="20">
        <f t="shared" si="1"/>
        <v>227700</v>
      </c>
      <c r="W54" s="7">
        <v>6</v>
      </c>
    </row>
    <row r="55" spans="1:23" s="7" customFormat="1" ht="15" customHeight="1" x14ac:dyDescent="0.2">
      <c r="A55" s="1">
        <v>43</v>
      </c>
      <c r="B55" s="4">
        <v>50.6</v>
      </c>
      <c r="C55" s="4">
        <v>46.9</v>
      </c>
      <c r="D55" s="4">
        <v>50.6</v>
      </c>
      <c r="E55" s="4">
        <v>46.9</v>
      </c>
      <c r="F55" s="4"/>
      <c r="G55" s="4"/>
      <c r="H55"/>
      <c r="I55" s="4"/>
      <c r="J55" s="4"/>
      <c r="K55" s="4" t="s">
        <v>18</v>
      </c>
      <c r="L55" s="4" t="s">
        <v>18</v>
      </c>
      <c r="M55" s="4"/>
      <c r="N55" s="4"/>
      <c r="O55"/>
      <c r="P55" s="6">
        <f t="shared" si="7"/>
        <v>101.2</v>
      </c>
      <c r="Q55" s="6">
        <f t="shared" si="8"/>
        <v>93.8</v>
      </c>
      <c r="R55" s="1">
        <v>43</v>
      </c>
      <c r="S55" s="22">
        <v>2000</v>
      </c>
      <c r="T55" s="22">
        <v>2250</v>
      </c>
      <c r="U55" s="20">
        <f t="shared" si="0"/>
        <v>202400</v>
      </c>
      <c r="V55" s="20">
        <f t="shared" si="1"/>
        <v>227700</v>
      </c>
      <c r="W55" s="7">
        <v>6</v>
      </c>
    </row>
    <row r="56" spans="1:23" s="7" customFormat="1" ht="15" customHeight="1" x14ac:dyDescent="0.2">
      <c r="A56" s="1">
        <v>44</v>
      </c>
      <c r="B56" s="4">
        <v>50.6</v>
      </c>
      <c r="C56" s="4">
        <v>46.9</v>
      </c>
      <c r="D56" s="4">
        <v>50.6</v>
      </c>
      <c r="E56" s="4">
        <v>46.9</v>
      </c>
      <c r="F56" s="4"/>
      <c r="G56" s="4"/>
      <c r="H56"/>
      <c r="I56" s="4"/>
      <c r="J56" s="4"/>
      <c r="K56" s="4" t="s">
        <v>18</v>
      </c>
      <c r="L56" s="4" t="s">
        <v>18</v>
      </c>
      <c r="M56" s="4"/>
      <c r="N56" s="4"/>
      <c r="O56"/>
      <c r="P56" s="6">
        <f t="shared" si="7"/>
        <v>101.2</v>
      </c>
      <c r="Q56" s="6">
        <f t="shared" si="8"/>
        <v>93.8</v>
      </c>
      <c r="R56" s="1">
        <v>44</v>
      </c>
      <c r="S56" s="22">
        <v>2000</v>
      </c>
      <c r="T56" s="22">
        <v>2250</v>
      </c>
      <c r="U56" s="20">
        <f t="shared" si="0"/>
        <v>202400</v>
      </c>
      <c r="V56" s="20">
        <f t="shared" si="1"/>
        <v>227700</v>
      </c>
      <c r="W56" s="7">
        <v>6</v>
      </c>
    </row>
    <row r="57" spans="1:23" s="7" customFormat="1" ht="15" customHeight="1" x14ac:dyDescent="0.2">
      <c r="A57" s="1">
        <v>45</v>
      </c>
      <c r="B57" s="4">
        <v>51.4</v>
      </c>
      <c r="C57" s="4">
        <v>46.6</v>
      </c>
      <c r="D57" s="4">
        <v>51.4</v>
      </c>
      <c r="E57" s="4">
        <v>46.6</v>
      </c>
      <c r="F57" s="4"/>
      <c r="G57" s="4"/>
      <c r="H57"/>
      <c r="I57" s="4"/>
      <c r="J57" s="4"/>
      <c r="K57" s="4" t="s">
        <v>18</v>
      </c>
      <c r="L57" s="4" t="s">
        <v>18</v>
      </c>
      <c r="M57" s="4"/>
      <c r="N57" s="4"/>
      <c r="O57"/>
      <c r="P57" s="6">
        <f t="shared" si="7"/>
        <v>102.8</v>
      </c>
      <c r="Q57" s="6">
        <f t="shared" si="8"/>
        <v>93.2</v>
      </c>
      <c r="R57" s="1">
        <v>45</v>
      </c>
      <c r="S57" s="22">
        <v>2000</v>
      </c>
      <c r="T57" s="22">
        <v>2250</v>
      </c>
      <c r="U57" s="20">
        <f t="shared" si="0"/>
        <v>205600</v>
      </c>
      <c r="V57" s="20">
        <f t="shared" si="1"/>
        <v>231300</v>
      </c>
      <c r="W57" s="7">
        <v>6</v>
      </c>
    </row>
    <row r="58" spans="1:23" s="7" customFormat="1" ht="15" customHeight="1" x14ac:dyDescent="0.2">
      <c r="A58" s="1">
        <v>46</v>
      </c>
      <c r="B58" s="4">
        <v>51.4</v>
      </c>
      <c r="C58" s="4">
        <v>46.6</v>
      </c>
      <c r="D58" s="4">
        <v>51.4</v>
      </c>
      <c r="E58" s="4">
        <v>46.6</v>
      </c>
      <c r="F58" s="4"/>
      <c r="G58" s="4"/>
      <c r="H58"/>
      <c r="I58" s="4"/>
      <c r="J58" s="4"/>
      <c r="K58" s="4" t="s">
        <v>18</v>
      </c>
      <c r="L58" s="4" t="s">
        <v>18</v>
      </c>
      <c r="M58" s="4"/>
      <c r="N58" s="4"/>
      <c r="O58"/>
      <c r="P58" s="6">
        <f t="shared" si="7"/>
        <v>102.8</v>
      </c>
      <c r="Q58" s="6">
        <f t="shared" si="8"/>
        <v>93.2</v>
      </c>
      <c r="R58" s="1">
        <v>46</v>
      </c>
      <c r="S58" s="22">
        <v>2000</v>
      </c>
      <c r="T58" s="22">
        <v>2250</v>
      </c>
      <c r="U58" s="20">
        <f t="shared" si="0"/>
        <v>205600</v>
      </c>
      <c r="V58" s="20">
        <f t="shared" si="1"/>
        <v>231300</v>
      </c>
      <c r="W58" s="7">
        <v>6</v>
      </c>
    </row>
    <row r="59" spans="1:23" s="7" customFormat="1" ht="15" customHeight="1" x14ac:dyDescent="0.2">
      <c r="A59" s="1">
        <v>47</v>
      </c>
      <c r="B59" s="4">
        <v>50.6</v>
      </c>
      <c r="C59" s="4">
        <v>46.9</v>
      </c>
      <c r="D59" s="4">
        <v>50.6</v>
      </c>
      <c r="E59" s="4">
        <v>46.9</v>
      </c>
      <c r="F59" s="4"/>
      <c r="G59" s="4"/>
      <c r="H59"/>
      <c r="I59" s="4"/>
      <c r="J59" s="4"/>
      <c r="K59" s="4" t="s">
        <v>18</v>
      </c>
      <c r="L59" s="4" t="s">
        <v>18</v>
      </c>
      <c r="M59" s="4"/>
      <c r="N59" s="4"/>
      <c r="O59"/>
      <c r="P59" s="6">
        <f t="shared" si="7"/>
        <v>101.2</v>
      </c>
      <c r="Q59" s="6">
        <f t="shared" si="8"/>
        <v>93.8</v>
      </c>
      <c r="R59" s="1">
        <v>47</v>
      </c>
      <c r="S59" s="22">
        <v>2000</v>
      </c>
      <c r="T59" s="22">
        <v>2250</v>
      </c>
      <c r="U59" s="20">
        <f t="shared" si="0"/>
        <v>202400</v>
      </c>
      <c r="V59" s="20">
        <f t="shared" si="1"/>
        <v>227700</v>
      </c>
      <c r="W59" s="7">
        <v>6</v>
      </c>
    </row>
    <row r="60" spans="1:23" s="7" customFormat="1" ht="15" customHeight="1" x14ac:dyDescent="0.2">
      <c r="A60" s="1">
        <v>48</v>
      </c>
      <c r="B60" s="4">
        <v>50.6</v>
      </c>
      <c r="C60" s="4">
        <v>46.9</v>
      </c>
      <c r="D60" s="4">
        <v>50.6</v>
      </c>
      <c r="E60" s="4">
        <v>46.9</v>
      </c>
      <c r="F60" s="4"/>
      <c r="G60" s="4"/>
      <c r="H60"/>
      <c r="I60" s="4"/>
      <c r="J60" s="4"/>
      <c r="K60" s="4" t="s">
        <v>18</v>
      </c>
      <c r="L60" s="4" t="s">
        <v>18</v>
      </c>
      <c r="M60" s="4"/>
      <c r="N60" s="4"/>
      <c r="O60"/>
      <c r="P60" s="6">
        <f t="shared" si="7"/>
        <v>101.2</v>
      </c>
      <c r="Q60" s="6">
        <f t="shared" si="8"/>
        <v>93.8</v>
      </c>
      <c r="R60" s="1">
        <v>48</v>
      </c>
      <c r="S60" s="22">
        <v>2000</v>
      </c>
      <c r="T60" s="22">
        <v>2250</v>
      </c>
      <c r="U60" s="20">
        <f t="shared" si="0"/>
        <v>202400</v>
      </c>
      <c r="V60" s="20">
        <f t="shared" si="1"/>
        <v>227700</v>
      </c>
      <c r="W60" s="7">
        <v>6</v>
      </c>
    </row>
    <row r="61" spans="1:23" s="7" customFormat="1" ht="15" customHeight="1" x14ac:dyDescent="0.2">
      <c r="A61" s="1">
        <v>49</v>
      </c>
      <c r="B61" s="4">
        <v>50.6</v>
      </c>
      <c r="C61" s="4">
        <v>46.9</v>
      </c>
      <c r="D61" s="4">
        <v>50.6</v>
      </c>
      <c r="E61" s="4">
        <v>46.9</v>
      </c>
      <c r="F61" s="4"/>
      <c r="G61" s="4"/>
      <c r="H61"/>
      <c r="I61" s="4"/>
      <c r="J61" s="4"/>
      <c r="K61" s="4" t="s">
        <v>18</v>
      </c>
      <c r="L61" s="4" t="s">
        <v>18</v>
      </c>
      <c r="M61" s="4"/>
      <c r="N61" s="4"/>
      <c r="O61"/>
      <c r="P61" s="6">
        <f t="shared" si="7"/>
        <v>101.2</v>
      </c>
      <c r="Q61" s="6">
        <f t="shared" si="8"/>
        <v>93.8</v>
      </c>
      <c r="R61" s="1">
        <v>49</v>
      </c>
      <c r="S61" s="22">
        <v>2000</v>
      </c>
      <c r="T61" s="22">
        <v>2250</v>
      </c>
      <c r="U61" s="20">
        <f t="shared" si="0"/>
        <v>202400</v>
      </c>
      <c r="V61" s="20">
        <f t="shared" si="1"/>
        <v>227700</v>
      </c>
      <c r="W61" s="7">
        <v>6</v>
      </c>
    </row>
    <row r="62" spans="1:23" s="7" customFormat="1" ht="15" customHeight="1" x14ac:dyDescent="0.2">
      <c r="A62" s="1">
        <v>50</v>
      </c>
      <c r="B62" s="4">
        <v>50.6</v>
      </c>
      <c r="C62" s="4">
        <v>46.9</v>
      </c>
      <c r="D62" s="4">
        <v>50.6</v>
      </c>
      <c r="E62" s="4">
        <v>46.9</v>
      </c>
      <c r="F62" s="4"/>
      <c r="G62" s="4"/>
      <c r="H62"/>
      <c r="I62" s="4"/>
      <c r="J62" s="4"/>
      <c r="K62" s="4" t="s">
        <v>18</v>
      </c>
      <c r="L62" s="4" t="s">
        <v>18</v>
      </c>
      <c r="M62" s="4"/>
      <c r="N62" s="4"/>
      <c r="O62"/>
      <c r="P62" s="6">
        <f>SUM(B62+D62)</f>
        <v>101.2</v>
      </c>
      <c r="Q62" s="6">
        <f>SUM(C62+E62)</f>
        <v>93.8</v>
      </c>
      <c r="R62" s="1">
        <v>50</v>
      </c>
      <c r="S62" s="22">
        <v>2000</v>
      </c>
      <c r="T62" s="22">
        <v>2250</v>
      </c>
      <c r="U62" s="20">
        <f t="shared" si="0"/>
        <v>202400</v>
      </c>
      <c r="V62" s="20">
        <f t="shared" si="1"/>
        <v>227700</v>
      </c>
      <c r="W62" s="7">
        <v>6</v>
      </c>
    </row>
    <row r="63" spans="1:23" s="7" customFormat="1" ht="15" customHeight="1" x14ac:dyDescent="0.2">
      <c r="A63" s="1">
        <v>51</v>
      </c>
      <c r="B63" s="4">
        <v>50.6</v>
      </c>
      <c r="C63" s="4">
        <v>46.9</v>
      </c>
      <c r="D63" s="4">
        <v>50.6</v>
      </c>
      <c r="E63" s="4">
        <v>46.9</v>
      </c>
      <c r="F63" s="4"/>
      <c r="G63" s="4"/>
      <c r="H63"/>
      <c r="I63" s="4"/>
      <c r="J63" s="4"/>
      <c r="K63" s="4" t="s">
        <v>18</v>
      </c>
      <c r="L63" s="4" t="s">
        <v>18</v>
      </c>
      <c r="M63" s="4"/>
      <c r="N63" s="4"/>
      <c r="O63"/>
      <c r="P63" s="6">
        <f t="shared" si="7"/>
        <v>101.2</v>
      </c>
      <c r="Q63" s="6">
        <f t="shared" si="8"/>
        <v>93.8</v>
      </c>
      <c r="R63" s="1">
        <v>51</v>
      </c>
      <c r="S63" s="22">
        <v>2000</v>
      </c>
      <c r="T63" s="22">
        <v>2250</v>
      </c>
      <c r="U63" s="20">
        <f t="shared" si="0"/>
        <v>202400</v>
      </c>
      <c r="V63" s="20">
        <f t="shared" si="1"/>
        <v>227700</v>
      </c>
      <c r="W63" s="7">
        <v>6</v>
      </c>
    </row>
    <row r="64" spans="1:23" s="7" customFormat="1" ht="15" customHeight="1" x14ac:dyDescent="0.2">
      <c r="A64" s="1">
        <v>52</v>
      </c>
      <c r="B64" s="4">
        <v>50.6</v>
      </c>
      <c r="C64" s="4">
        <v>46.9</v>
      </c>
      <c r="D64" s="4">
        <v>50.6</v>
      </c>
      <c r="E64" s="4">
        <v>46.9</v>
      </c>
      <c r="F64" s="4"/>
      <c r="G64" s="4"/>
      <c r="H64"/>
      <c r="I64" s="4"/>
      <c r="J64" s="4"/>
      <c r="K64" s="4" t="s">
        <v>18</v>
      </c>
      <c r="L64" s="4" t="s">
        <v>18</v>
      </c>
      <c r="M64" s="4"/>
      <c r="N64" s="4"/>
      <c r="O64"/>
      <c r="P64" s="6">
        <f t="shared" si="7"/>
        <v>101.2</v>
      </c>
      <c r="Q64" s="6">
        <f t="shared" si="8"/>
        <v>93.8</v>
      </c>
      <c r="R64" s="1">
        <v>52</v>
      </c>
      <c r="S64" s="22">
        <v>2000</v>
      </c>
      <c r="T64" s="22">
        <v>2250</v>
      </c>
      <c r="U64" s="20">
        <f t="shared" si="0"/>
        <v>202400</v>
      </c>
      <c r="V64" s="20">
        <f t="shared" si="1"/>
        <v>227700</v>
      </c>
      <c r="W64" s="7">
        <v>6</v>
      </c>
    </row>
    <row r="65" spans="1:23" s="7" customFormat="1" ht="15" customHeight="1" x14ac:dyDescent="0.2">
      <c r="A65" s="1">
        <v>53</v>
      </c>
      <c r="B65" s="4">
        <v>50.6</v>
      </c>
      <c r="C65" s="4">
        <v>46.9</v>
      </c>
      <c r="D65" s="4">
        <v>50.6</v>
      </c>
      <c r="E65" s="4">
        <v>46.9</v>
      </c>
      <c r="F65" s="4"/>
      <c r="G65" s="4"/>
      <c r="H65"/>
      <c r="I65" s="4"/>
      <c r="J65" s="4"/>
      <c r="K65" s="4" t="s">
        <v>18</v>
      </c>
      <c r="L65" s="4" t="s">
        <v>18</v>
      </c>
      <c r="M65" s="4"/>
      <c r="N65" s="4"/>
      <c r="O65"/>
      <c r="P65" s="6">
        <f t="shared" si="7"/>
        <v>101.2</v>
      </c>
      <c r="Q65" s="6">
        <f t="shared" si="8"/>
        <v>93.8</v>
      </c>
      <c r="R65" s="1">
        <v>53</v>
      </c>
      <c r="S65" s="22">
        <v>2000</v>
      </c>
      <c r="T65" s="22">
        <v>2250</v>
      </c>
      <c r="U65" s="20">
        <f t="shared" si="0"/>
        <v>202400</v>
      </c>
      <c r="V65" s="20">
        <f t="shared" si="1"/>
        <v>227700</v>
      </c>
      <c r="W65" s="7">
        <v>6</v>
      </c>
    </row>
    <row r="66" spans="1:23" s="7" customFormat="1" ht="15" customHeight="1" x14ac:dyDescent="0.2">
      <c r="A66" s="1">
        <v>54</v>
      </c>
      <c r="B66" s="4">
        <v>50.6</v>
      </c>
      <c r="C66" s="4">
        <v>46.9</v>
      </c>
      <c r="D66" s="4">
        <v>50.6</v>
      </c>
      <c r="E66" s="4">
        <v>46.9</v>
      </c>
      <c r="F66" s="4"/>
      <c r="G66" s="4"/>
      <c r="H66"/>
      <c r="I66" s="4"/>
      <c r="J66" s="4"/>
      <c r="K66" s="4" t="s">
        <v>18</v>
      </c>
      <c r="L66" s="4" t="s">
        <v>18</v>
      </c>
      <c r="M66" s="4"/>
      <c r="N66" s="4"/>
      <c r="O66"/>
      <c r="P66" s="6">
        <f t="shared" si="7"/>
        <v>101.2</v>
      </c>
      <c r="Q66" s="6">
        <f t="shared" si="8"/>
        <v>93.8</v>
      </c>
      <c r="R66" s="1">
        <v>54</v>
      </c>
      <c r="S66" s="22">
        <v>2000</v>
      </c>
      <c r="T66" s="22">
        <v>2250</v>
      </c>
      <c r="U66" s="20">
        <f t="shared" si="0"/>
        <v>202400</v>
      </c>
      <c r="V66" s="20">
        <f t="shared" si="1"/>
        <v>227700</v>
      </c>
      <c r="W66" s="7">
        <v>6</v>
      </c>
    </row>
    <row r="67" spans="1:23" s="7" customFormat="1" ht="15" customHeight="1" x14ac:dyDescent="0.2">
      <c r="A67" s="1">
        <v>55</v>
      </c>
      <c r="B67" s="4">
        <v>50.6</v>
      </c>
      <c r="C67" s="4">
        <v>46.9</v>
      </c>
      <c r="D67" s="4">
        <v>50.6</v>
      </c>
      <c r="E67" s="4">
        <v>46.9</v>
      </c>
      <c r="F67" s="4"/>
      <c r="G67" s="4"/>
      <c r="H67"/>
      <c r="I67" s="4"/>
      <c r="J67" s="4"/>
      <c r="K67" s="4" t="s">
        <v>18</v>
      </c>
      <c r="L67" s="4" t="s">
        <v>18</v>
      </c>
      <c r="M67" s="4"/>
      <c r="N67" s="4"/>
      <c r="O67"/>
      <c r="P67" s="6">
        <f t="shared" si="7"/>
        <v>101.2</v>
      </c>
      <c r="Q67" s="6">
        <f t="shared" si="8"/>
        <v>93.8</v>
      </c>
      <c r="R67" s="1">
        <v>55</v>
      </c>
      <c r="S67" s="22">
        <v>2000</v>
      </c>
      <c r="T67" s="22">
        <v>2250</v>
      </c>
      <c r="U67" s="20">
        <f t="shared" si="0"/>
        <v>202400</v>
      </c>
      <c r="V67" s="20">
        <f t="shared" si="1"/>
        <v>227700</v>
      </c>
      <c r="W67" s="7">
        <v>6</v>
      </c>
    </row>
    <row r="68" spans="1:23" s="7" customFormat="1" ht="15" customHeight="1" x14ac:dyDescent="0.2">
      <c r="A68" s="1">
        <v>56</v>
      </c>
      <c r="B68" s="4">
        <v>152.6</v>
      </c>
      <c r="C68" s="4">
        <v>142.4</v>
      </c>
      <c r="D68" s="4"/>
      <c r="E68" s="4"/>
      <c r="F68" s="4"/>
      <c r="G68" s="4"/>
      <c r="H68"/>
      <c r="I68" s="4"/>
      <c r="J68" s="4"/>
      <c r="K68" s="4">
        <v>152.6</v>
      </c>
      <c r="L68" s="4">
        <v>142.4</v>
      </c>
      <c r="M68" s="4"/>
      <c r="N68" s="4"/>
      <c r="O68"/>
      <c r="P68" s="6">
        <f>SUM(B68+K68)</f>
        <v>305.2</v>
      </c>
      <c r="Q68" s="6">
        <f>SUM(C68+L68)</f>
        <v>284.8</v>
      </c>
      <c r="R68" s="1">
        <v>56</v>
      </c>
      <c r="S68" s="22">
        <v>2000</v>
      </c>
      <c r="T68" s="22">
        <v>2150</v>
      </c>
      <c r="U68" s="20">
        <f t="shared" si="0"/>
        <v>610400</v>
      </c>
      <c r="V68" s="20">
        <f t="shared" si="1"/>
        <v>656180</v>
      </c>
      <c r="W68" s="7">
        <v>5</v>
      </c>
    </row>
    <row r="69" spans="1:23" s="7" customFormat="1" ht="15" customHeight="1" x14ac:dyDescent="0.2">
      <c r="A69" s="1">
        <v>57</v>
      </c>
      <c r="B69" s="4">
        <v>177.8</v>
      </c>
      <c r="C69" s="4">
        <v>166.9</v>
      </c>
      <c r="D69" s="4"/>
      <c r="E69" s="4"/>
      <c r="F69" s="4"/>
      <c r="G69" s="4"/>
      <c r="H69"/>
      <c r="I69" s="4"/>
      <c r="J69" s="4"/>
      <c r="K69" s="4">
        <v>177.8</v>
      </c>
      <c r="L69" s="4">
        <v>166.9</v>
      </c>
      <c r="M69" s="4">
        <v>64.7</v>
      </c>
      <c r="N69" s="4">
        <v>57.8</v>
      </c>
      <c r="O69"/>
      <c r="P69" s="6">
        <f>SUM(B69+K69+M69)</f>
        <v>420.3</v>
      </c>
      <c r="Q69" s="6">
        <f>SUM(C69+L69+N69)</f>
        <v>391.6</v>
      </c>
      <c r="R69" s="1">
        <v>57</v>
      </c>
      <c r="S69" s="22">
        <v>2000</v>
      </c>
      <c r="T69" s="22">
        <v>2150</v>
      </c>
      <c r="U69" s="20">
        <f t="shared" si="0"/>
        <v>840600</v>
      </c>
      <c r="V69" s="20">
        <f t="shared" si="1"/>
        <v>903645</v>
      </c>
      <c r="W69" s="7">
        <v>8</v>
      </c>
    </row>
    <row r="70" spans="1:23" s="7" customFormat="1" ht="15" customHeight="1" x14ac:dyDescent="0.2">
      <c r="A70" s="1">
        <v>58</v>
      </c>
      <c r="B70" s="4">
        <v>63.2</v>
      </c>
      <c r="C70" s="4">
        <v>59.1</v>
      </c>
      <c r="D70" s="4"/>
      <c r="E70" s="4"/>
      <c r="F70" s="4"/>
      <c r="G70" s="4"/>
      <c r="H70"/>
      <c r="I70" s="4"/>
      <c r="J70" s="4"/>
      <c r="K70" s="4">
        <v>63.2</v>
      </c>
      <c r="L70" s="4">
        <v>59.1</v>
      </c>
      <c r="M70" s="4"/>
      <c r="N70" s="4"/>
      <c r="O70"/>
      <c r="P70" s="6">
        <f t="shared" ref="P70:P91" si="9">SUM(B70+K70)</f>
        <v>126.4</v>
      </c>
      <c r="Q70" s="6">
        <f t="shared" ref="Q70:Q91" si="10">SUM(C70+L70)</f>
        <v>118.2</v>
      </c>
      <c r="R70" s="1">
        <v>58</v>
      </c>
      <c r="S70" s="22">
        <v>2000</v>
      </c>
      <c r="T70" s="22">
        <v>2250</v>
      </c>
      <c r="U70" s="20">
        <f t="shared" si="0"/>
        <v>252800</v>
      </c>
      <c r="V70" s="20">
        <f t="shared" si="1"/>
        <v>284400</v>
      </c>
      <c r="W70" s="7">
        <v>9</v>
      </c>
    </row>
    <row r="71" spans="1:23" s="7" customFormat="1" ht="15" customHeight="1" x14ac:dyDescent="0.2">
      <c r="A71" s="1">
        <v>59</v>
      </c>
      <c r="B71" s="4">
        <v>63.2</v>
      </c>
      <c r="C71" s="4">
        <v>59.1</v>
      </c>
      <c r="D71" s="4"/>
      <c r="E71" s="4"/>
      <c r="F71" s="4"/>
      <c r="G71" s="4"/>
      <c r="H71"/>
      <c r="I71" s="4"/>
      <c r="J71" s="4"/>
      <c r="K71" s="4">
        <v>63.2</v>
      </c>
      <c r="L71" s="4">
        <v>59.1</v>
      </c>
      <c r="M71" s="4"/>
      <c r="N71" s="4"/>
      <c r="O71"/>
      <c r="P71" s="6">
        <f t="shared" si="9"/>
        <v>126.4</v>
      </c>
      <c r="Q71" s="6">
        <f t="shared" si="10"/>
        <v>118.2</v>
      </c>
      <c r="R71" s="1">
        <v>59</v>
      </c>
      <c r="S71" s="22">
        <v>2000</v>
      </c>
      <c r="T71" s="22">
        <v>2250</v>
      </c>
      <c r="U71" s="20">
        <f t="shared" si="0"/>
        <v>252800</v>
      </c>
      <c r="V71" s="20">
        <f t="shared" si="1"/>
        <v>284400</v>
      </c>
      <c r="W71" s="7">
        <v>9</v>
      </c>
    </row>
    <row r="72" spans="1:23" s="7" customFormat="1" ht="15" customHeight="1" x14ac:dyDescent="0.2">
      <c r="A72" s="1">
        <v>60</v>
      </c>
      <c r="B72" s="4">
        <v>63.2</v>
      </c>
      <c r="C72" s="4">
        <v>59.1</v>
      </c>
      <c r="D72" s="4"/>
      <c r="E72" s="4"/>
      <c r="F72" s="4"/>
      <c r="G72" s="4"/>
      <c r="H72"/>
      <c r="I72" s="4"/>
      <c r="J72" s="4"/>
      <c r="K72" s="4">
        <v>63.2</v>
      </c>
      <c r="L72" s="4">
        <v>59.1</v>
      </c>
      <c r="M72" s="4"/>
      <c r="N72" s="4"/>
      <c r="O72"/>
      <c r="P72" s="6">
        <f t="shared" si="9"/>
        <v>126.4</v>
      </c>
      <c r="Q72" s="6">
        <f t="shared" si="10"/>
        <v>118.2</v>
      </c>
      <c r="R72" s="1">
        <v>60</v>
      </c>
      <c r="S72" s="22">
        <v>2000</v>
      </c>
      <c r="T72" s="22">
        <v>2250</v>
      </c>
      <c r="U72" s="20">
        <f t="shared" si="0"/>
        <v>252800</v>
      </c>
      <c r="V72" s="20">
        <f t="shared" si="1"/>
        <v>284400</v>
      </c>
      <c r="W72" s="7">
        <v>9</v>
      </c>
    </row>
    <row r="73" spans="1:23" s="7" customFormat="1" ht="15" customHeight="1" x14ac:dyDescent="0.2">
      <c r="A73" s="1">
        <v>61</v>
      </c>
      <c r="B73" s="4">
        <v>63.2</v>
      </c>
      <c r="C73" s="4">
        <v>59.1</v>
      </c>
      <c r="D73" s="4"/>
      <c r="E73" s="4"/>
      <c r="F73" s="4"/>
      <c r="G73" s="4"/>
      <c r="H73"/>
      <c r="I73" s="4"/>
      <c r="J73" s="4"/>
      <c r="K73" s="4">
        <v>63.2</v>
      </c>
      <c r="L73" s="4">
        <v>59.1</v>
      </c>
      <c r="M73" s="4"/>
      <c r="N73" s="4"/>
      <c r="O73"/>
      <c r="P73" s="6">
        <f t="shared" si="9"/>
        <v>126.4</v>
      </c>
      <c r="Q73" s="6">
        <f t="shared" si="10"/>
        <v>118.2</v>
      </c>
      <c r="R73" s="1">
        <v>61</v>
      </c>
      <c r="S73" s="22">
        <v>2000</v>
      </c>
      <c r="T73" s="22">
        <v>2250</v>
      </c>
      <c r="U73" s="20">
        <f t="shared" si="0"/>
        <v>252800</v>
      </c>
      <c r="V73" s="20">
        <f t="shared" si="1"/>
        <v>284400</v>
      </c>
      <c r="W73" s="7">
        <v>9</v>
      </c>
    </row>
    <row r="74" spans="1:23" s="7" customFormat="1" ht="15" customHeight="1" x14ac:dyDescent="0.2">
      <c r="A74" s="1">
        <v>62</v>
      </c>
      <c r="B74" s="4">
        <v>63.2</v>
      </c>
      <c r="C74" s="4">
        <v>59.1</v>
      </c>
      <c r="D74" s="4"/>
      <c r="E74" s="4"/>
      <c r="F74" s="4"/>
      <c r="G74" s="4"/>
      <c r="H74"/>
      <c r="I74" s="4"/>
      <c r="J74" s="4"/>
      <c r="K74" s="4">
        <v>63.2</v>
      </c>
      <c r="L74" s="4">
        <v>59.1</v>
      </c>
      <c r="M74" s="4"/>
      <c r="N74" s="4"/>
      <c r="O74"/>
      <c r="P74" s="6">
        <f t="shared" si="9"/>
        <v>126.4</v>
      </c>
      <c r="Q74" s="6">
        <f t="shared" si="10"/>
        <v>118.2</v>
      </c>
      <c r="R74" s="1">
        <v>62</v>
      </c>
      <c r="S74" s="22">
        <v>2000</v>
      </c>
      <c r="T74" s="22">
        <v>2250</v>
      </c>
      <c r="U74" s="20">
        <f t="shared" si="0"/>
        <v>252800</v>
      </c>
      <c r="V74" s="20">
        <f t="shared" si="1"/>
        <v>284400</v>
      </c>
      <c r="W74" s="7">
        <v>9</v>
      </c>
    </row>
    <row r="75" spans="1:23" s="7" customFormat="1" ht="15" customHeight="1" x14ac:dyDescent="0.2">
      <c r="A75" s="1">
        <v>63</v>
      </c>
      <c r="B75" s="4">
        <v>63.2</v>
      </c>
      <c r="C75" s="4">
        <v>59.1</v>
      </c>
      <c r="D75" s="4"/>
      <c r="E75" s="4"/>
      <c r="F75" s="4"/>
      <c r="G75" s="4"/>
      <c r="H75"/>
      <c r="I75" s="4"/>
      <c r="J75" s="4"/>
      <c r="K75" s="4">
        <v>63.2</v>
      </c>
      <c r="L75" s="4">
        <v>59.1</v>
      </c>
      <c r="M75" s="4"/>
      <c r="N75" s="4"/>
      <c r="O75"/>
      <c r="P75" s="6">
        <f t="shared" si="9"/>
        <v>126.4</v>
      </c>
      <c r="Q75" s="6">
        <f t="shared" si="10"/>
        <v>118.2</v>
      </c>
      <c r="R75" s="1">
        <v>63</v>
      </c>
      <c r="S75" s="22">
        <v>2000</v>
      </c>
      <c r="T75" s="22">
        <v>2250</v>
      </c>
      <c r="U75" s="20">
        <f t="shared" si="0"/>
        <v>252800</v>
      </c>
      <c r="V75" s="20">
        <f t="shared" si="1"/>
        <v>284400</v>
      </c>
      <c r="W75" s="7">
        <v>9</v>
      </c>
    </row>
    <row r="76" spans="1:23" s="7" customFormat="1" ht="15" customHeight="1" x14ac:dyDescent="0.2">
      <c r="A76" s="1">
        <v>64</v>
      </c>
      <c r="B76" s="4">
        <v>63.2</v>
      </c>
      <c r="C76" s="4">
        <v>59.1</v>
      </c>
      <c r="D76" s="4"/>
      <c r="E76" s="4"/>
      <c r="F76" s="4"/>
      <c r="G76" s="4"/>
      <c r="H76"/>
      <c r="I76" s="4"/>
      <c r="J76" s="4"/>
      <c r="K76" s="4">
        <v>63.2</v>
      </c>
      <c r="L76" s="4">
        <v>59.1</v>
      </c>
      <c r="M76" s="4"/>
      <c r="N76" s="4"/>
      <c r="O76"/>
      <c r="P76" s="6">
        <f t="shared" si="9"/>
        <v>126.4</v>
      </c>
      <c r="Q76" s="6">
        <f t="shared" si="10"/>
        <v>118.2</v>
      </c>
      <c r="R76" s="1">
        <v>64</v>
      </c>
      <c r="S76" s="22">
        <v>2000</v>
      </c>
      <c r="T76" s="22">
        <v>2250</v>
      </c>
      <c r="U76" s="20">
        <f t="shared" si="0"/>
        <v>252800</v>
      </c>
      <c r="V76" s="20">
        <f t="shared" si="1"/>
        <v>284400</v>
      </c>
      <c r="W76" s="7">
        <v>9</v>
      </c>
    </row>
    <row r="77" spans="1:23" s="7" customFormat="1" ht="15" customHeight="1" x14ac:dyDescent="0.2">
      <c r="A77" s="1">
        <v>65</v>
      </c>
      <c r="B77" s="4">
        <v>63.2</v>
      </c>
      <c r="C77" s="4">
        <v>59.1</v>
      </c>
      <c r="D77" s="4"/>
      <c r="E77" s="4"/>
      <c r="F77" s="4"/>
      <c r="G77" s="4"/>
      <c r="H77"/>
      <c r="I77" s="4"/>
      <c r="J77" s="4"/>
      <c r="K77" s="4">
        <v>63.2</v>
      </c>
      <c r="L77" s="4">
        <v>59.1</v>
      </c>
      <c r="M77" s="4"/>
      <c r="N77" s="4"/>
      <c r="O77"/>
      <c r="P77" s="6">
        <f t="shared" si="9"/>
        <v>126.4</v>
      </c>
      <c r="Q77" s="6">
        <f t="shared" si="10"/>
        <v>118.2</v>
      </c>
      <c r="R77" s="1">
        <v>65</v>
      </c>
      <c r="S77" s="22">
        <v>2000</v>
      </c>
      <c r="T77" s="22">
        <v>2250</v>
      </c>
      <c r="U77" s="20">
        <f t="shared" si="0"/>
        <v>252800</v>
      </c>
      <c r="V77" s="20">
        <f t="shared" si="1"/>
        <v>284400</v>
      </c>
      <c r="W77" s="7">
        <v>9</v>
      </c>
    </row>
    <row r="78" spans="1:23" s="7" customFormat="1" ht="15" customHeight="1" x14ac:dyDescent="0.2">
      <c r="A78" s="1">
        <v>66</v>
      </c>
      <c r="B78" s="4">
        <v>63.2</v>
      </c>
      <c r="C78" s="4">
        <v>59.1</v>
      </c>
      <c r="D78" s="4"/>
      <c r="E78" s="4"/>
      <c r="F78" s="4"/>
      <c r="G78" s="4"/>
      <c r="H78"/>
      <c r="I78" s="4"/>
      <c r="J78" s="4"/>
      <c r="K78" s="4">
        <v>63.2</v>
      </c>
      <c r="L78" s="4">
        <v>59.1</v>
      </c>
      <c r="M78" s="4"/>
      <c r="N78" s="4"/>
      <c r="O78"/>
      <c r="P78" s="6">
        <f t="shared" si="9"/>
        <v>126.4</v>
      </c>
      <c r="Q78" s="6">
        <f t="shared" si="10"/>
        <v>118.2</v>
      </c>
      <c r="R78" s="1">
        <v>66</v>
      </c>
      <c r="S78" s="22">
        <v>2000</v>
      </c>
      <c r="T78" s="22">
        <v>2250</v>
      </c>
      <c r="U78" s="20">
        <f t="shared" ref="U78:U92" si="11">S78*P78</f>
        <v>252800</v>
      </c>
      <c r="V78" s="20">
        <f t="shared" ref="V78:V91" si="12">T78*P78</f>
        <v>284400</v>
      </c>
      <c r="W78" s="7">
        <v>9</v>
      </c>
    </row>
    <row r="79" spans="1:23" s="7" customFormat="1" ht="15" customHeight="1" x14ac:dyDescent="0.2">
      <c r="A79" s="1">
        <v>67</v>
      </c>
      <c r="B79" s="4">
        <v>64.2</v>
      </c>
      <c r="C79" s="4">
        <v>58.7</v>
      </c>
      <c r="D79" s="4"/>
      <c r="E79" s="4"/>
      <c r="F79" s="4"/>
      <c r="G79" s="4"/>
      <c r="H79"/>
      <c r="I79" s="4"/>
      <c r="J79" s="4"/>
      <c r="K79" s="4">
        <v>64.2</v>
      </c>
      <c r="L79" s="4">
        <v>58.7</v>
      </c>
      <c r="M79" s="4"/>
      <c r="N79" s="4"/>
      <c r="O79"/>
      <c r="P79" s="6">
        <f t="shared" si="9"/>
        <v>128.4</v>
      </c>
      <c r="Q79" s="6">
        <f t="shared" si="10"/>
        <v>117.4</v>
      </c>
      <c r="R79" s="1">
        <v>67</v>
      </c>
      <c r="S79" s="22">
        <v>2000</v>
      </c>
      <c r="T79" s="22">
        <v>2150</v>
      </c>
      <c r="U79" s="20">
        <f t="shared" si="11"/>
        <v>256800</v>
      </c>
      <c r="V79" s="20">
        <f t="shared" si="12"/>
        <v>276060</v>
      </c>
      <c r="W79" s="7">
        <v>10</v>
      </c>
    </row>
    <row r="80" spans="1:23" s="7" customFormat="1" ht="15" customHeight="1" x14ac:dyDescent="0.2">
      <c r="A80" s="1">
        <v>68</v>
      </c>
      <c r="B80" s="4">
        <v>51.4</v>
      </c>
      <c r="C80" s="4">
        <v>46.6</v>
      </c>
      <c r="D80" s="4"/>
      <c r="E80" s="4"/>
      <c r="F80" s="4"/>
      <c r="G80" s="4"/>
      <c r="H80"/>
      <c r="I80" s="4"/>
      <c r="J80" s="4"/>
      <c r="K80" s="4">
        <v>51.4</v>
      </c>
      <c r="L80" s="4">
        <v>46.6</v>
      </c>
      <c r="M80" s="4"/>
      <c r="N80" s="4"/>
      <c r="O80"/>
      <c r="P80" s="6">
        <f t="shared" si="9"/>
        <v>102.8</v>
      </c>
      <c r="Q80" s="6">
        <f t="shared" si="10"/>
        <v>93.2</v>
      </c>
      <c r="R80" s="1">
        <v>68</v>
      </c>
      <c r="S80" s="22">
        <v>2000</v>
      </c>
      <c r="T80" s="22">
        <v>2250</v>
      </c>
      <c r="U80" s="20">
        <f t="shared" si="11"/>
        <v>205600</v>
      </c>
      <c r="V80" s="20">
        <f t="shared" si="12"/>
        <v>231300</v>
      </c>
      <c r="W80" s="7">
        <v>11</v>
      </c>
    </row>
    <row r="81" spans="1:23" s="7" customFormat="1" ht="15" customHeight="1" x14ac:dyDescent="0.2">
      <c r="A81" s="1">
        <v>69</v>
      </c>
      <c r="B81" s="4">
        <v>50.6</v>
      </c>
      <c r="C81" s="4">
        <v>46.9</v>
      </c>
      <c r="D81" s="4"/>
      <c r="E81" s="4"/>
      <c r="F81" s="4"/>
      <c r="G81" s="4"/>
      <c r="H81"/>
      <c r="I81" s="4"/>
      <c r="J81" s="4"/>
      <c r="K81" s="4">
        <v>50.6</v>
      </c>
      <c r="L81" s="4">
        <v>46.9</v>
      </c>
      <c r="M81" s="4"/>
      <c r="N81" s="4"/>
      <c r="O81"/>
      <c r="P81" s="6">
        <f t="shared" si="9"/>
        <v>101.2</v>
      </c>
      <c r="Q81" s="6">
        <f t="shared" si="10"/>
        <v>93.8</v>
      </c>
      <c r="R81" s="1">
        <v>69</v>
      </c>
      <c r="S81" s="22">
        <v>2000</v>
      </c>
      <c r="T81" s="22">
        <v>2250</v>
      </c>
      <c r="U81" s="20">
        <f t="shared" si="11"/>
        <v>202400</v>
      </c>
      <c r="V81" s="20">
        <f t="shared" si="12"/>
        <v>227700</v>
      </c>
      <c r="W81" s="7">
        <v>11</v>
      </c>
    </row>
    <row r="82" spans="1:23" s="7" customFormat="1" ht="15" customHeight="1" x14ac:dyDescent="0.2">
      <c r="A82" s="1">
        <v>70</v>
      </c>
      <c r="B82" s="4">
        <v>50.6</v>
      </c>
      <c r="C82" s="4">
        <v>46.9</v>
      </c>
      <c r="D82" s="4"/>
      <c r="E82" s="4"/>
      <c r="F82" s="4"/>
      <c r="G82" s="4"/>
      <c r="H82"/>
      <c r="I82" s="4"/>
      <c r="J82" s="4"/>
      <c r="K82" s="4">
        <v>50.6</v>
      </c>
      <c r="L82" s="4">
        <v>46.9</v>
      </c>
      <c r="M82" s="4"/>
      <c r="N82" s="4"/>
      <c r="O82"/>
      <c r="P82" s="6">
        <f t="shared" si="9"/>
        <v>101.2</v>
      </c>
      <c r="Q82" s="6">
        <f t="shared" si="10"/>
        <v>93.8</v>
      </c>
      <c r="R82" s="1">
        <v>70</v>
      </c>
      <c r="S82" s="22">
        <v>2000</v>
      </c>
      <c r="T82" s="22">
        <v>2250</v>
      </c>
      <c r="U82" s="20">
        <f t="shared" si="11"/>
        <v>202400</v>
      </c>
      <c r="V82" s="20">
        <f t="shared" si="12"/>
        <v>227700</v>
      </c>
      <c r="W82" s="7">
        <v>11</v>
      </c>
    </row>
    <row r="83" spans="1:23" s="7" customFormat="1" ht="15" customHeight="1" x14ac:dyDescent="0.2">
      <c r="A83" s="1">
        <v>71</v>
      </c>
      <c r="B83" s="4">
        <v>50.6</v>
      </c>
      <c r="C83" s="4">
        <v>46.9</v>
      </c>
      <c r="D83" s="4"/>
      <c r="E83" s="4"/>
      <c r="F83" s="4"/>
      <c r="G83" s="4"/>
      <c r="H83"/>
      <c r="I83" s="4"/>
      <c r="J83" s="4"/>
      <c r="K83" s="4">
        <v>50.6</v>
      </c>
      <c r="L83" s="4">
        <v>46.9</v>
      </c>
      <c r="M83" s="4"/>
      <c r="N83" s="4"/>
      <c r="O83"/>
      <c r="P83" s="6">
        <f t="shared" si="9"/>
        <v>101.2</v>
      </c>
      <c r="Q83" s="6">
        <f t="shared" si="10"/>
        <v>93.8</v>
      </c>
      <c r="R83" s="1">
        <v>71</v>
      </c>
      <c r="S83" s="22">
        <v>2000</v>
      </c>
      <c r="T83" s="22">
        <v>2250</v>
      </c>
      <c r="U83" s="20">
        <f t="shared" si="11"/>
        <v>202400</v>
      </c>
      <c r="V83" s="20">
        <f t="shared" si="12"/>
        <v>227700</v>
      </c>
      <c r="W83" s="7">
        <v>11</v>
      </c>
    </row>
    <row r="84" spans="1:23" s="7" customFormat="1" ht="15" customHeight="1" x14ac:dyDescent="0.2">
      <c r="A84" s="1">
        <v>72</v>
      </c>
      <c r="B84" s="4">
        <v>50.6</v>
      </c>
      <c r="C84" s="4">
        <v>46.9</v>
      </c>
      <c r="D84" s="4"/>
      <c r="E84" s="4"/>
      <c r="F84" s="4"/>
      <c r="G84" s="4"/>
      <c r="H84"/>
      <c r="I84" s="4"/>
      <c r="J84" s="4"/>
      <c r="K84" s="4">
        <v>50.6</v>
      </c>
      <c r="L84" s="4">
        <v>46.9</v>
      </c>
      <c r="M84" s="4"/>
      <c r="N84" s="4"/>
      <c r="O84"/>
      <c r="P84" s="6">
        <f t="shared" si="9"/>
        <v>101.2</v>
      </c>
      <c r="Q84" s="6">
        <f t="shared" si="10"/>
        <v>93.8</v>
      </c>
      <c r="R84" s="1">
        <v>72</v>
      </c>
      <c r="S84" s="22">
        <v>2000</v>
      </c>
      <c r="T84" s="22">
        <v>2250</v>
      </c>
      <c r="U84" s="20">
        <f t="shared" si="11"/>
        <v>202400</v>
      </c>
      <c r="V84" s="20">
        <f t="shared" si="12"/>
        <v>227700</v>
      </c>
      <c r="W84" s="7">
        <v>11</v>
      </c>
    </row>
    <row r="85" spans="1:23" s="7" customFormat="1" ht="15" customHeight="1" x14ac:dyDescent="0.2">
      <c r="A85" s="1">
        <v>73</v>
      </c>
      <c r="B85" s="4">
        <v>50.6</v>
      </c>
      <c r="C85" s="4">
        <v>46.9</v>
      </c>
      <c r="D85" s="4"/>
      <c r="E85" s="4"/>
      <c r="F85" s="4"/>
      <c r="G85" s="4"/>
      <c r="H85"/>
      <c r="I85" s="4"/>
      <c r="J85" s="4"/>
      <c r="K85" s="4">
        <v>50.6</v>
      </c>
      <c r="L85" s="4">
        <v>46.9</v>
      </c>
      <c r="M85" s="4"/>
      <c r="N85" s="4"/>
      <c r="O85"/>
      <c r="P85" s="6">
        <f t="shared" si="9"/>
        <v>101.2</v>
      </c>
      <c r="Q85" s="6">
        <f t="shared" si="10"/>
        <v>93.8</v>
      </c>
      <c r="R85" s="1">
        <v>73</v>
      </c>
      <c r="S85" s="22">
        <v>2000</v>
      </c>
      <c r="T85" s="22">
        <v>2250</v>
      </c>
      <c r="U85" s="20">
        <f t="shared" si="11"/>
        <v>202400</v>
      </c>
      <c r="V85" s="20">
        <f t="shared" si="12"/>
        <v>227700</v>
      </c>
      <c r="W85" s="7">
        <v>11</v>
      </c>
    </row>
    <row r="86" spans="1:23" s="7" customFormat="1" ht="15" customHeight="1" x14ac:dyDescent="0.2">
      <c r="A86" s="1">
        <v>74</v>
      </c>
      <c r="B86" s="4">
        <v>50.6</v>
      </c>
      <c r="C86" s="4">
        <v>46.9</v>
      </c>
      <c r="D86" s="4"/>
      <c r="E86" s="4"/>
      <c r="F86" s="4"/>
      <c r="G86" s="4"/>
      <c r="H86"/>
      <c r="I86" s="4"/>
      <c r="J86" s="4"/>
      <c r="K86" s="4">
        <v>50.6</v>
      </c>
      <c r="L86" s="4">
        <v>46.9</v>
      </c>
      <c r="M86" s="4"/>
      <c r="N86" s="4"/>
      <c r="O86"/>
      <c r="P86" s="6">
        <f t="shared" si="9"/>
        <v>101.2</v>
      </c>
      <c r="Q86" s="6">
        <f t="shared" si="10"/>
        <v>93.8</v>
      </c>
      <c r="R86" s="1">
        <v>74</v>
      </c>
      <c r="S86" s="22">
        <v>2000</v>
      </c>
      <c r="T86" s="22">
        <v>2250</v>
      </c>
      <c r="U86" s="20">
        <f t="shared" si="11"/>
        <v>202400</v>
      </c>
      <c r="V86" s="20">
        <f t="shared" si="12"/>
        <v>227700</v>
      </c>
      <c r="W86" s="7">
        <v>11</v>
      </c>
    </row>
    <row r="87" spans="1:23" s="7" customFormat="1" ht="15" customHeight="1" x14ac:dyDescent="0.2">
      <c r="A87" s="1">
        <v>75</v>
      </c>
      <c r="B87" s="4">
        <v>50.6</v>
      </c>
      <c r="C87" s="4">
        <v>46.9</v>
      </c>
      <c r="D87" s="4"/>
      <c r="E87" s="4"/>
      <c r="F87" s="4"/>
      <c r="G87" s="4"/>
      <c r="H87"/>
      <c r="I87" s="4"/>
      <c r="J87" s="4"/>
      <c r="K87" s="4">
        <v>50.6</v>
      </c>
      <c r="L87" s="4">
        <v>46.9</v>
      </c>
      <c r="M87" s="4"/>
      <c r="N87" s="4"/>
      <c r="O87"/>
      <c r="P87" s="6">
        <f t="shared" si="9"/>
        <v>101.2</v>
      </c>
      <c r="Q87" s="6">
        <f t="shared" si="10"/>
        <v>93.8</v>
      </c>
      <c r="R87" s="1">
        <v>75</v>
      </c>
      <c r="S87" s="22">
        <v>2000</v>
      </c>
      <c r="T87" s="22">
        <v>2250</v>
      </c>
      <c r="U87" s="20">
        <f t="shared" si="11"/>
        <v>202400</v>
      </c>
      <c r="V87" s="20">
        <f t="shared" si="12"/>
        <v>227700</v>
      </c>
      <c r="W87" s="7">
        <v>11</v>
      </c>
    </row>
    <row r="88" spans="1:23" s="7" customFormat="1" ht="15" customHeight="1" x14ac:dyDescent="0.2">
      <c r="A88" s="1">
        <v>76</v>
      </c>
      <c r="B88" s="4">
        <v>50.6</v>
      </c>
      <c r="C88" s="4">
        <v>46.9</v>
      </c>
      <c r="D88" s="4"/>
      <c r="E88" s="4"/>
      <c r="F88" s="4"/>
      <c r="G88" s="4"/>
      <c r="H88"/>
      <c r="I88" s="4"/>
      <c r="J88" s="4"/>
      <c r="K88" s="4">
        <v>50.6</v>
      </c>
      <c r="L88" s="4">
        <v>46.9</v>
      </c>
      <c r="M88" s="4"/>
      <c r="N88" s="4"/>
      <c r="O88"/>
      <c r="P88" s="6">
        <f t="shared" si="9"/>
        <v>101.2</v>
      </c>
      <c r="Q88" s="6">
        <f t="shared" si="10"/>
        <v>93.8</v>
      </c>
      <c r="R88" s="1">
        <v>76</v>
      </c>
      <c r="S88" s="22">
        <v>2000</v>
      </c>
      <c r="T88" s="22">
        <v>2250</v>
      </c>
      <c r="U88" s="20">
        <f t="shared" si="11"/>
        <v>202400</v>
      </c>
      <c r="V88" s="20">
        <f t="shared" si="12"/>
        <v>227700</v>
      </c>
      <c r="W88" s="7">
        <v>11</v>
      </c>
    </row>
    <row r="89" spans="1:23" s="7" customFormat="1" ht="15" customHeight="1" x14ac:dyDescent="0.2">
      <c r="A89" s="1">
        <v>77</v>
      </c>
      <c r="B89" s="4">
        <v>50.6</v>
      </c>
      <c r="C89" s="4">
        <v>46.9</v>
      </c>
      <c r="D89" s="4"/>
      <c r="E89" s="4"/>
      <c r="F89" s="4"/>
      <c r="G89" s="4"/>
      <c r="H89"/>
      <c r="I89" s="4"/>
      <c r="J89" s="4"/>
      <c r="K89" s="4">
        <v>50.6</v>
      </c>
      <c r="L89" s="4">
        <v>46.9</v>
      </c>
      <c r="M89" s="4"/>
      <c r="N89" s="4"/>
      <c r="O89"/>
      <c r="P89" s="6">
        <f t="shared" si="9"/>
        <v>101.2</v>
      </c>
      <c r="Q89" s="6">
        <f t="shared" si="10"/>
        <v>93.8</v>
      </c>
      <c r="R89" s="1">
        <v>77</v>
      </c>
      <c r="S89" s="22">
        <v>2000</v>
      </c>
      <c r="T89" s="22">
        <v>2250</v>
      </c>
      <c r="U89" s="20">
        <f t="shared" si="11"/>
        <v>202400</v>
      </c>
      <c r="V89" s="20">
        <f t="shared" si="12"/>
        <v>227700</v>
      </c>
      <c r="W89" s="7">
        <v>11</v>
      </c>
    </row>
    <row r="90" spans="1:23" s="7" customFormat="1" ht="15" customHeight="1" x14ac:dyDescent="0.2">
      <c r="A90" s="1">
        <v>78</v>
      </c>
      <c r="B90" s="4">
        <v>50.6</v>
      </c>
      <c r="C90" s="4">
        <v>46.9</v>
      </c>
      <c r="D90" s="4"/>
      <c r="E90" s="4"/>
      <c r="F90" s="4"/>
      <c r="G90" s="4"/>
      <c r="H90"/>
      <c r="I90" s="4"/>
      <c r="J90" s="4"/>
      <c r="K90" s="4">
        <v>50.6</v>
      </c>
      <c r="L90" s="4">
        <v>46.9</v>
      </c>
      <c r="M90" s="4"/>
      <c r="N90" s="4"/>
      <c r="O90"/>
      <c r="P90" s="6">
        <f t="shared" si="9"/>
        <v>101.2</v>
      </c>
      <c r="Q90" s="6">
        <f t="shared" si="10"/>
        <v>93.8</v>
      </c>
      <c r="R90" s="1">
        <v>78</v>
      </c>
      <c r="S90" s="22">
        <v>2000</v>
      </c>
      <c r="T90" s="22">
        <v>2250</v>
      </c>
      <c r="U90" s="20">
        <f t="shared" si="11"/>
        <v>202400</v>
      </c>
      <c r="V90" s="20">
        <f t="shared" si="12"/>
        <v>227700</v>
      </c>
      <c r="W90" s="7">
        <v>11</v>
      </c>
    </row>
    <row r="91" spans="1:23" s="7" customFormat="1" x14ac:dyDescent="0.2">
      <c r="A91" s="1">
        <v>79</v>
      </c>
      <c r="B91" s="4">
        <v>50.6</v>
      </c>
      <c r="C91" s="4">
        <v>45.8</v>
      </c>
      <c r="D91" s="4"/>
      <c r="E91" s="4"/>
      <c r="F91" s="4"/>
      <c r="G91" s="4"/>
      <c r="H91"/>
      <c r="I91" s="4"/>
      <c r="J91" s="4"/>
      <c r="K91" s="4">
        <v>50.6</v>
      </c>
      <c r="L91" s="4">
        <v>45.8</v>
      </c>
      <c r="M91" s="4"/>
      <c r="N91" s="4"/>
      <c r="O91"/>
      <c r="P91" s="6">
        <f t="shared" si="9"/>
        <v>101.2</v>
      </c>
      <c r="Q91" s="6">
        <f t="shared" si="10"/>
        <v>91.6</v>
      </c>
      <c r="R91" s="1">
        <v>79</v>
      </c>
      <c r="S91" s="22">
        <v>2000</v>
      </c>
      <c r="T91" s="22">
        <v>2250</v>
      </c>
      <c r="U91" s="20">
        <f t="shared" si="11"/>
        <v>202400</v>
      </c>
      <c r="V91" s="20">
        <f t="shared" si="12"/>
        <v>227700</v>
      </c>
      <c r="W91" s="7">
        <v>12</v>
      </c>
    </row>
    <row r="92" spans="1:23" s="7" customFormat="1" x14ac:dyDescent="0.2">
      <c r="A92" s="2"/>
      <c r="H92"/>
      <c r="O92"/>
      <c r="R92" s="2"/>
      <c r="S92" s="2"/>
      <c r="T92" s="22"/>
      <c r="U92" s="20">
        <f t="shared" si="11"/>
        <v>0</v>
      </c>
    </row>
    <row r="93" spans="1:23" s="7" customFormat="1" ht="15" customHeight="1" x14ac:dyDescent="0.2">
      <c r="A93" s="9"/>
      <c r="B93" s="14"/>
      <c r="C93" s="14"/>
      <c r="D93" s="14"/>
      <c r="E93" s="14"/>
      <c r="F93" s="14"/>
      <c r="G93" s="14"/>
      <c r="H93" s="15"/>
      <c r="I93" s="14"/>
      <c r="J93" s="14"/>
      <c r="K93" s="14"/>
      <c r="L93" s="14"/>
      <c r="M93" s="14"/>
      <c r="N93" s="16"/>
      <c r="O93"/>
      <c r="P93" s="5" t="s">
        <v>4</v>
      </c>
      <c r="Q93" s="5" t="s">
        <v>5</v>
      </c>
      <c r="R93" s="69"/>
      <c r="S93" s="2"/>
      <c r="T93" s="22"/>
    </row>
    <row r="94" spans="1:23" x14ac:dyDescent="0.2">
      <c r="A94" s="17" t="s">
        <v>20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8"/>
      <c r="P94" s="61">
        <f>SUM(P13:P91)</f>
        <v>9699.4999999999982</v>
      </c>
      <c r="Q94" s="61">
        <f>SUM(Q13:Q91)</f>
        <v>8964.8999999999978</v>
      </c>
      <c r="R94" s="70"/>
      <c r="S94" s="2"/>
      <c r="T94" s="22"/>
    </row>
    <row r="95" spans="1:23" ht="15" customHeight="1" x14ac:dyDescent="0.2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2"/>
      <c r="P95" s="62"/>
      <c r="Q95" s="62"/>
      <c r="R95" s="71"/>
      <c r="S95" s="2"/>
      <c r="T95" s="22"/>
      <c r="U95" s="7">
        <f>SUM(U13:U91)</f>
        <v>19399000</v>
      </c>
      <c r="V95" s="7">
        <f>SUM(V13:V91)</f>
        <v>21635925</v>
      </c>
      <c r="W95" s="7">
        <f>V95-U95</f>
        <v>2236925</v>
      </c>
    </row>
    <row r="96" spans="1:23" x14ac:dyDescent="0.2">
      <c r="T96" s="22"/>
      <c r="V96" s="23">
        <f>(V95-U95)/V95</f>
        <v>0.10338938594028219</v>
      </c>
    </row>
  </sheetData>
  <mergeCells count="35">
    <mergeCell ref="R93:R95"/>
    <mergeCell ref="A7:A9"/>
    <mergeCell ref="R7:R9"/>
    <mergeCell ref="R10:R12"/>
    <mergeCell ref="O7:O14"/>
    <mergeCell ref="D10:E10"/>
    <mergeCell ref="D11:E11"/>
    <mergeCell ref="F10:G10"/>
    <mergeCell ref="F11:G11"/>
    <mergeCell ref="I10:J10"/>
    <mergeCell ref="I11:J11"/>
    <mergeCell ref="K10:L10"/>
    <mergeCell ref="K11:L11"/>
    <mergeCell ref="M10:N10"/>
    <mergeCell ref="A10:A12"/>
    <mergeCell ref="B10:C10"/>
    <mergeCell ref="P94:P95"/>
    <mergeCell ref="Q94:Q95"/>
    <mergeCell ref="P10:Q10"/>
    <mergeCell ref="P11:Q11"/>
    <mergeCell ref="M11:N11"/>
    <mergeCell ref="P7:Q9"/>
    <mergeCell ref="A1:B1"/>
    <mergeCell ref="A2:B2"/>
    <mergeCell ref="A3:B3"/>
    <mergeCell ref="A4:B4"/>
    <mergeCell ref="C1:K1"/>
    <mergeCell ref="C2:N2"/>
    <mergeCell ref="C3:M3"/>
    <mergeCell ref="C4:M4"/>
    <mergeCell ref="I7:N9"/>
    <mergeCell ref="B7:G9"/>
    <mergeCell ref="H7:H14"/>
    <mergeCell ref="A6:K6"/>
    <mergeCell ref="B11:C11"/>
  </mergeCells>
  <pageMargins left="0.7" right="0.7" top="0.75" bottom="0.75" header="0.3" footer="0.3"/>
  <pageSetup paperSize="9" orientation="landscape" r:id="rId1"/>
  <headerFooter>
    <oddFooter>&amp;CPagina &amp;P van &amp;N</oddFooter>
  </headerFooter>
  <ignoredErrors>
    <ignoredError sqref="P24:Q24 P69:Q6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Viresh | Merrachi</cp:lastModifiedBy>
  <cp:lastPrinted>2025-04-15T08:00:02Z</cp:lastPrinted>
  <dcterms:created xsi:type="dcterms:W3CDTF">2025-04-08T14:13:50Z</dcterms:created>
  <dcterms:modified xsi:type="dcterms:W3CDTF">2026-04-07T08:19:17Z</dcterms:modified>
</cp:coreProperties>
</file>